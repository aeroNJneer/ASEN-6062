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EN-6062\homework\project\"/>
    </mc:Choice>
  </mc:AlternateContent>
  <xr:revisionPtr revIDLastSave="0" documentId="13_ncr:9_{B46C227C-F4AB-44CC-8952-A1FDDF3ACABC}" xr6:coauthVersionLast="47" xr6:coauthVersionMax="47" xr10:uidLastSave="{00000000-0000-0000-0000-000000000000}"/>
  <bookViews>
    <workbookView xWindow="2376" yWindow="2916" windowWidth="21600" windowHeight="13608" activeTab="1" xr2:uid="{71C1CA5E-A160-4386-B4AC-E8EC94B9750C}"/>
  </bookViews>
  <sheets>
    <sheet name="capture_data" sheetId="1" r:id="rId1"/>
    <sheet name="capture_data_summary_by_orbit" sheetId="3" r:id="rId2"/>
    <sheet name="Sheet3" sheetId="7" r:id="rId3"/>
    <sheet name="capture_data_top_avg_exp_rate" sheetId="4" r:id="rId4"/>
    <sheet name="capture_data_top_phi_exit" sheetId="6" r:id="rId5"/>
    <sheet name="Sheet2" sheetId="5" r:id="rId6"/>
    <sheet name="Sheet1" sheetId="2" r:id="rId7"/>
    <sheet name="Extracted_Summary" sheetId="8" r:id="rId8"/>
  </sheets>
  <definedNames>
    <definedName name="_xlnm._FilterDatabase" localSheetId="0" hidden="1">capture_data!$A$1:$Q$231</definedName>
    <definedName name="ExternalData_1" localSheetId="1" hidden="1">'capture_data_summary_by_orbit'!$A$1:$Z$5</definedName>
    <definedName name="ExternalData_1" localSheetId="3" hidden="1">'capture_data_top_avg_exp_rate'!$A$1:$Q$11</definedName>
    <definedName name="ExternalData_1" localSheetId="4" hidden="1">'capture_data_top_phi_exit'!$A$1:$Q$11</definedName>
  </definedNames>
  <calcPr calcId="0"/>
</workbook>
</file>

<file path=xl/calcChain.xml><?xml version="1.0" encoding="utf-8"?>
<calcChain xmlns="http://schemas.openxmlformats.org/spreadsheetml/2006/main">
  <c r="M3" i="1" l="1"/>
  <c r="N3" i="1"/>
  <c r="O3" i="1"/>
  <c r="P3" i="1"/>
  <c r="Q3" i="1"/>
  <c r="M4" i="1"/>
  <c r="N4" i="1"/>
  <c r="O4" i="1"/>
  <c r="P4" i="1"/>
  <c r="Q4" i="1"/>
  <c r="M5" i="1"/>
  <c r="N5" i="1"/>
  <c r="O5" i="1"/>
  <c r="P5" i="1"/>
  <c r="Q5" i="1"/>
  <c r="M6" i="1"/>
  <c r="N6" i="1"/>
  <c r="O6" i="1"/>
  <c r="P6" i="1"/>
  <c r="Q6" i="1"/>
  <c r="M7" i="1"/>
  <c r="N7" i="1"/>
  <c r="O7" i="1"/>
  <c r="P7" i="1"/>
  <c r="Q7" i="1"/>
  <c r="M8" i="1"/>
  <c r="N8" i="1"/>
  <c r="O8" i="1"/>
  <c r="P8" i="1"/>
  <c r="Q8" i="1"/>
  <c r="M9" i="1"/>
  <c r="N9" i="1"/>
  <c r="O9" i="1"/>
  <c r="P9" i="1"/>
  <c r="Q9" i="1"/>
  <c r="M10" i="1"/>
  <c r="N10" i="1"/>
  <c r="O10" i="1"/>
  <c r="P10" i="1"/>
  <c r="Q10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6" i="1"/>
  <c r="N16" i="1"/>
  <c r="O16" i="1"/>
  <c r="P16" i="1"/>
  <c r="Q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M21" i="1"/>
  <c r="N21" i="1"/>
  <c r="O21" i="1"/>
  <c r="P21" i="1"/>
  <c r="Q21" i="1"/>
  <c r="M22" i="1"/>
  <c r="N22" i="1"/>
  <c r="O22" i="1"/>
  <c r="P22" i="1"/>
  <c r="Q22" i="1"/>
  <c r="M23" i="1"/>
  <c r="N23" i="1"/>
  <c r="O23" i="1"/>
  <c r="P23" i="1"/>
  <c r="Q23" i="1"/>
  <c r="M24" i="1"/>
  <c r="N24" i="1"/>
  <c r="O24" i="1"/>
  <c r="P24" i="1"/>
  <c r="Q24" i="1"/>
  <c r="M25" i="1"/>
  <c r="N25" i="1"/>
  <c r="O25" i="1"/>
  <c r="P25" i="1"/>
  <c r="Q25" i="1"/>
  <c r="M26" i="1"/>
  <c r="N26" i="1"/>
  <c r="O26" i="1"/>
  <c r="P26" i="1"/>
  <c r="Q26" i="1"/>
  <c r="M27" i="1"/>
  <c r="N27" i="1"/>
  <c r="O27" i="1"/>
  <c r="P27" i="1"/>
  <c r="Q27" i="1"/>
  <c r="M28" i="1"/>
  <c r="N28" i="1"/>
  <c r="O28" i="1"/>
  <c r="P28" i="1"/>
  <c r="Q28" i="1"/>
  <c r="M29" i="1"/>
  <c r="N29" i="1"/>
  <c r="O29" i="1"/>
  <c r="P29" i="1"/>
  <c r="Q29" i="1"/>
  <c r="M30" i="1"/>
  <c r="N30" i="1"/>
  <c r="O30" i="1"/>
  <c r="P30" i="1"/>
  <c r="Q30" i="1"/>
  <c r="M31" i="1"/>
  <c r="N31" i="1"/>
  <c r="O31" i="1"/>
  <c r="P31" i="1"/>
  <c r="M32" i="1"/>
  <c r="N32" i="1"/>
  <c r="O32" i="1"/>
  <c r="P32" i="1"/>
  <c r="Q32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M38" i="1"/>
  <c r="N38" i="1"/>
  <c r="O38" i="1"/>
  <c r="P38" i="1"/>
  <c r="Q38" i="1"/>
  <c r="M39" i="1"/>
  <c r="N39" i="1"/>
  <c r="O39" i="1"/>
  <c r="P39" i="1"/>
  <c r="Q39" i="1"/>
  <c r="M40" i="1"/>
  <c r="N40" i="1"/>
  <c r="O40" i="1"/>
  <c r="P40" i="1"/>
  <c r="Q40" i="1"/>
  <c r="M41" i="1"/>
  <c r="N41" i="1"/>
  <c r="O41" i="1"/>
  <c r="P41" i="1"/>
  <c r="Q41" i="1"/>
  <c r="M42" i="1"/>
  <c r="N42" i="1"/>
  <c r="O42" i="1"/>
  <c r="P42" i="1"/>
  <c r="Q42" i="1"/>
  <c r="M43" i="1"/>
  <c r="N43" i="1"/>
  <c r="O43" i="1"/>
  <c r="P43" i="1"/>
  <c r="Q43" i="1"/>
  <c r="M44" i="1"/>
  <c r="N44" i="1"/>
  <c r="O44" i="1"/>
  <c r="P44" i="1"/>
  <c r="Q44" i="1"/>
  <c r="M45" i="1"/>
  <c r="N45" i="1"/>
  <c r="O45" i="1"/>
  <c r="P45" i="1"/>
  <c r="Q45" i="1"/>
  <c r="M46" i="1"/>
  <c r="N46" i="1"/>
  <c r="O46" i="1"/>
  <c r="P46" i="1"/>
  <c r="Q46" i="1"/>
  <c r="M47" i="1"/>
  <c r="N47" i="1"/>
  <c r="O47" i="1"/>
  <c r="P47" i="1"/>
  <c r="Q47" i="1"/>
  <c r="M48" i="1"/>
  <c r="N48" i="1"/>
  <c r="O48" i="1"/>
  <c r="P48" i="1"/>
  <c r="Q48" i="1"/>
  <c r="M49" i="1"/>
  <c r="N49" i="1"/>
  <c r="O49" i="1"/>
  <c r="P49" i="1"/>
  <c r="Q49" i="1"/>
  <c r="M50" i="1"/>
  <c r="N50" i="1"/>
  <c r="O50" i="1"/>
  <c r="P50" i="1"/>
  <c r="Q50" i="1"/>
  <c r="M51" i="1"/>
  <c r="N51" i="1"/>
  <c r="O51" i="1"/>
  <c r="P51" i="1"/>
  <c r="Q51" i="1"/>
  <c r="M52" i="1"/>
  <c r="N52" i="1"/>
  <c r="O52" i="1"/>
  <c r="P52" i="1"/>
  <c r="Q52" i="1"/>
  <c r="M53" i="1"/>
  <c r="N53" i="1"/>
  <c r="O53" i="1"/>
  <c r="P53" i="1"/>
  <c r="Q53" i="1"/>
  <c r="M54" i="1"/>
  <c r="N54" i="1"/>
  <c r="O54" i="1"/>
  <c r="P54" i="1"/>
  <c r="Q54" i="1"/>
  <c r="M55" i="1"/>
  <c r="N55" i="1"/>
  <c r="O55" i="1"/>
  <c r="P55" i="1"/>
  <c r="Q55" i="1"/>
  <c r="M56" i="1"/>
  <c r="N56" i="1"/>
  <c r="O56" i="1"/>
  <c r="P56" i="1"/>
  <c r="Q56" i="1"/>
  <c r="M57" i="1"/>
  <c r="N57" i="1"/>
  <c r="O57" i="1"/>
  <c r="P57" i="1"/>
  <c r="Q57" i="1"/>
  <c r="M58" i="1"/>
  <c r="N58" i="1"/>
  <c r="O58" i="1"/>
  <c r="P58" i="1"/>
  <c r="Q58" i="1"/>
  <c r="M59" i="1"/>
  <c r="O59" i="1"/>
  <c r="P59" i="1"/>
  <c r="M60" i="1"/>
  <c r="O60" i="1"/>
  <c r="P60" i="1"/>
  <c r="M61" i="1"/>
  <c r="N61" i="1"/>
  <c r="O61" i="1"/>
  <c r="P61" i="1"/>
  <c r="Q61" i="1"/>
  <c r="M62" i="1"/>
  <c r="N62" i="1"/>
  <c r="O62" i="1"/>
  <c r="P62" i="1"/>
  <c r="Q62" i="1"/>
  <c r="M63" i="1"/>
  <c r="N63" i="1"/>
  <c r="O63" i="1"/>
  <c r="P63" i="1"/>
  <c r="Q63" i="1"/>
  <c r="M64" i="1"/>
  <c r="N64" i="1"/>
  <c r="O64" i="1"/>
  <c r="P64" i="1"/>
  <c r="Q64" i="1"/>
  <c r="M65" i="1"/>
  <c r="N65" i="1"/>
  <c r="O65" i="1"/>
  <c r="P65" i="1"/>
  <c r="Q65" i="1"/>
  <c r="M66" i="1"/>
  <c r="N66" i="1"/>
  <c r="O66" i="1"/>
  <c r="P66" i="1"/>
  <c r="Q66" i="1"/>
  <c r="M67" i="1"/>
  <c r="N67" i="1"/>
  <c r="O67" i="1"/>
  <c r="P67" i="1"/>
  <c r="Q67" i="1"/>
  <c r="M68" i="1"/>
  <c r="N68" i="1"/>
  <c r="O68" i="1"/>
  <c r="P68" i="1"/>
  <c r="Q68" i="1"/>
  <c r="M69" i="1"/>
  <c r="N69" i="1"/>
  <c r="O69" i="1"/>
  <c r="P69" i="1"/>
  <c r="Q69" i="1"/>
  <c r="M70" i="1"/>
  <c r="N70" i="1"/>
  <c r="O70" i="1"/>
  <c r="P70" i="1"/>
  <c r="Q70" i="1"/>
  <c r="M71" i="1"/>
  <c r="N71" i="1"/>
  <c r="O71" i="1"/>
  <c r="P71" i="1"/>
  <c r="Q71" i="1"/>
  <c r="M72" i="1"/>
  <c r="N72" i="1"/>
  <c r="O72" i="1"/>
  <c r="P72" i="1"/>
  <c r="Q72" i="1"/>
  <c r="M73" i="1"/>
  <c r="N73" i="1"/>
  <c r="O73" i="1"/>
  <c r="P73" i="1"/>
  <c r="Q73" i="1"/>
  <c r="M74" i="1"/>
  <c r="N74" i="1"/>
  <c r="O74" i="1"/>
  <c r="P74" i="1"/>
  <c r="Q74" i="1"/>
  <c r="M75" i="1"/>
  <c r="N75" i="1"/>
  <c r="O75" i="1"/>
  <c r="P75" i="1"/>
  <c r="Q75" i="1"/>
  <c r="M76" i="1"/>
  <c r="N76" i="1"/>
  <c r="O76" i="1"/>
  <c r="P76" i="1"/>
  <c r="Q76" i="1"/>
  <c r="M77" i="1"/>
  <c r="N77" i="1"/>
  <c r="O77" i="1"/>
  <c r="P77" i="1"/>
  <c r="Q77" i="1"/>
  <c r="M78" i="1"/>
  <c r="N78" i="1"/>
  <c r="O78" i="1"/>
  <c r="P78" i="1"/>
  <c r="Q78" i="1"/>
  <c r="M79" i="1"/>
  <c r="N79" i="1"/>
  <c r="O79" i="1"/>
  <c r="P79" i="1"/>
  <c r="Q79" i="1"/>
  <c r="M80" i="1"/>
  <c r="N80" i="1"/>
  <c r="O80" i="1"/>
  <c r="P80" i="1"/>
  <c r="Q80" i="1"/>
  <c r="M81" i="1"/>
  <c r="N81" i="1"/>
  <c r="O81" i="1"/>
  <c r="P81" i="1"/>
  <c r="Q81" i="1"/>
  <c r="M82" i="1"/>
  <c r="N82" i="1"/>
  <c r="O82" i="1"/>
  <c r="P82" i="1"/>
  <c r="Q82" i="1"/>
  <c r="M83" i="1"/>
  <c r="N83" i="1"/>
  <c r="O83" i="1"/>
  <c r="P83" i="1"/>
  <c r="Q83" i="1"/>
  <c r="M84" i="1"/>
  <c r="N84" i="1"/>
  <c r="O84" i="1"/>
  <c r="P84" i="1"/>
  <c r="Q84" i="1"/>
  <c r="M85" i="1"/>
  <c r="N85" i="1"/>
  <c r="O85" i="1"/>
  <c r="P85" i="1"/>
  <c r="Q85" i="1"/>
  <c r="M86" i="1"/>
  <c r="N86" i="1"/>
  <c r="O86" i="1"/>
  <c r="P86" i="1"/>
  <c r="Q86" i="1"/>
  <c r="M87" i="1"/>
  <c r="N87" i="1"/>
  <c r="O87" i="1"/>
  <c r="P87" i="1"/>
  <c r="Q87" i="1"/>
  <c r="M88" i="1"/>
  <c r="N88" i="1"/>
  <c r="O88" i="1"/>
  <c r="P88" i="1"/>
  <c r="Q88" i="1"/>
  <c r="M89" i="1"/>
  <c r="O89" i="1"/>
  <c r="P89" i="1"/>
  <c r="M90" i="1"/>
  <c r="N90" i="1"/>
  <c r="O90" i="1"/>
  <c r="P90" i="1"/>
  <c r="Q90" i="1"/>
  <c r="M91" i="1"/>
  <c r="N91" i="1"/>
  <c r="O91" i="1"/>
  <c r="P91" i="1"/>
  <c r="Q91" i="1"/>
  <c r="M92" i="1"/>
  <c r="N92" i="1"/>
  <c r="O92" i="1"/>
  <c r="P92" i="1"/>
  <c r="Q92" i="1"/>
  <c r="M93" i="1"/>
  <c r="N93" i="1"/>
  <c r="O93" i="1"/>
  <c r="P93" i="1"/>
  <c r="Q93" i="1"/>
  <c r="M94" i="1"/>
  <c r="N94" i="1"/>
  <c r="O94" i="1"/>
  <c r="P94" i="1"/>
  <c r="Q94" i="1"/>
  <c r="M95" i="1"/>
  <c r="N95" i="1"/>
  <c r="O95" i="1"/>
  <c r="P95" i="1"/>
  <c r="Q95" i="1"/>
  <c r="M96" i="1"/>
  <c r="N96" i="1"/>
  <c r="O96" i="1"/>
  <c r="P96" i="1"/>
  <c r="Q96" i="1"/>
  <c r="M97" i="1"/>
  <c r="N97" i="1"/>
  <c r="O97" i="1"/>
  <c r="P97" i="1"/>
  <c r="Q97" i="1"/>
  <c r="M98" i="1"/>
  <c r="N98" i="1"/>
  <c r="O98" i="1"/>
  <c r="P98" i="1"/>
  <c r="Q98" i="1"/>
  <c r="M99" i="1"/>
  <c r="N99" i="1"/>
  <c r="O99" i="1"/>
  <c r="P99" i="1"/>
  <c r="Q99" i="1"/>
  <c r="M100" i="1"/>
  <c r="N100" i="1"/>
  <c r="O100" i="1"/>
  <c r="P100" i="1"/>
  <c r="Q100" i="1"/>
  <c r="M101" i="1"/>
  <c r="N101" i="1"/>
  <c r="O101" i="1"/>
  <c r="P101" i="1"/>
  <c r="Q101" i="1"/>
  <c r="M102" i="1"/>
  <c r="N102" i="1"/>
  <c r="O102" i="1"/>
  <c r="P102" i="1"/>
  <c r="Q102" i="1"/>
  <c r="M103" i="1"/>
  <c r="N103" i="1"/>
  <c r="O103" i="1"/>
  <c r="P103" i="1"/>
  <c r="Q103" i="1"/>
  <c r="M104" i="1"/>
  <c r="N104" i="1"/>
  <c r="O104" i="1"/>
  <c r="P104" i="1"/>
  <c r="Q104" i="1"/>
  <c r="M105" i="1"/>
  <c r="N105" i="1"/>
  <c r="O105" i="1"/>
  <c r="P105" i="1"/>
  <c r="Q105" i="1"/>
  <c r="M106" i="1"/>
  <c r="N106" i="1"/>
  <c r="O106" i="1"/>
  <c r="P106" i="1"/>
  <c r="Q106" i="1"/>
  <c r="M107" i="1"/>
  <c r="N107" i="1"/>
  <c r="O107" i="1"/>
  <c r="P107" i="1"/>
  <c r="Q107" i="1"/>
  <c r="M108" i="1"/>
  <c r="N108" i="1"/>
  <c r="O108" i="1"/>
  <c r="P108" i="1"/>
  <c r="Q108" i="1"/>
  <c r="M109" i="1"/>
  <c r="N109" i="1"/>
  <c r="O109" i="1"/>
  <c r="P109" i="1"/>
  <c r="Q109" i="1"/>
  <c r="M110" i="1"/>
  <c r="N110" i="1"/>
  <c r="O110" i="1"/>
  <c r="P110" i="1"/>
  <c r="Q110" i="1"/>
  <c r="M111" i="1"/>
  <c r="N111" i="1"/>
  <c r="O111" i="1"/>
  <c r="P111" i="1"/>
  <c r="Q111" i="1"/>
  <c r="M112" i="1"/>
  <c r="N112" i="1"/>
  <c r="O112" i="1"/>
  <c r="P112" i="1"/>
  <c r="Q112" i="1"/>
  <c r="M113" i="1"/>
  <c r="N113" i="1"/>
  <c r="O113" i="1"/>
  <c r="P113" i="1"/>
  <c r="Q113" i="1"/>
  <c r="M114" i="1"/>
  <c r="O114" i="1"/>
  <c r="P114" i="1"/>
  <c r="M115" i="1"/>
  <c r="N115" i="1"/>
  <c r="O115" i="1"/>
  <c r="P115" i="1"/>
  <c r="M116" i="1"/>
  <c r="N116" i="1"/>
  <c r="O116" i="1"/>
  <c r="P116" i="1"/>
  <c r="Q116" i="1"/>
  <c r="M117" i="1"/>
  <c r="O117" i="1"/>
  <c r="P117" i="1"/>
  <c r="M118" i="1"/>
  <c r="O118" i="1"/>
  <c r="P118" i="1"/>
  <c r="M119" i="1"/>
  <c r="N119" i="1"/>
  <c r="O119" i="1"/>
  <c r="P119" i="1"/>
  <c r="Q119" i="1"/>
  <c r="M120" i="1"/>
  <c r="O120" i="1"/>
  <c r="P120" i="1"/>
  <c r="M121" i="1"/>
  <c r="N121" i="1"/>
  <c r="O121" i="1"/>
  <c r="P121" i="1"/>
  <c r="Q121" i="1"/>
  <c r="M122" i="1"/>
  <c r="O122" i="1"/>
  <c r="P122" i="1"/>
  <c r="M123" i="1"/>
  <c r="N123" i="1"/>
  <c r="O123" i="1"/>
  <c r="P123" i="1"/>
  <c r="Q123" i="1"/>
  <c r="M124" i="1"/>
  <c r="N124" i="1"/>
  <c r="O124" i="1"/>
  <c r="P124" i="1"/>
  <c r="Q124" i="1"/>
  <c r="M125" i="1"/>
  <c r="N125" i="1"/>
  <c r="O125" i="1"/>
  <c r="P125" i="1"/>
  <c r="Q125" i="1"/>
  <c r="M126" i="1"/>
  <c r="N126" i="1"/>
  <c r="O126" i="1"/>
  <c r="P126" i="1"/>
  <c r="Q126" i="1"/>
  <c r="M127" i="1"/>
  <c r="N127" i="1"/>
  <c r="O127" i="1"/>
  <c r="P127" i="1"/>
  <c r="Q127" i="1"/>
  <c r="M128" i="1"/>
  <c r="O128" i="1"/>
  <c r="P128" i="1"/>
  <c r="M129" i="1"/>
  <c r="N129" i="1"/>
  <c r="O129" i="1"/>
  <c r="P129" i="1"/>
  <c r="Q129" i="1"/>
  <c r="M130" i="1"/>
  <c r="O130" i="1"/>
  <c r="P130" i="1"/>
  <c r="M131" i="1"/>
  <c r="N131" i="1"/>
  <c r="O131" i="1"/>
  <c r="P131" i="1"/>
  <c r="Q131" i="1"/>
  <c r="M132" i="1"/>
  <c r="N132" i="1"/>
  <c r="O132" i="1"/>
  <c r="P132" i="1"/>
  <c r="Q132" i="1"/>
  <c r="M133" i="1"/>
  <c r="N133" i="1"/>
  <c r="O133" i="1"/>
  <c r="P133" i="1"/>
  <c r="Q133" i="1"/>
  <c r="M134" i="1"/>
  <c r="N134" i="1"/>
  <c r="O134" i="1"/>
  <c r="P134" i="1"/>
  <c r="Q134" i="1"/>
  <c r="M135" i="1"/>
  <c r="O135" i="1"/>
  <c r="P135" i="1"/>
  <c r="M136" i="1"/>
  <c r="O136" i="1"/>
  <c r="P136" i="1"/>
  <c r="M137" i="1"/>
  <c r="N137" i="1"/>
  <c r="O137" i="1"/>
  <c r="P137" i="1"/>
  <c r="Q137" i="1"/>
  <c r="M138" i="1"/>
  <c r="N138" i="1"/>
  <c r="O138" i="1"/>
  <c r="P138" i="1"/>
  <c r="Q138" i="1"/>
  <c r="M139" i="1"/>
  <c r="N139" i="1"/>
  <c r="O139" i="1"/>
  <c r="P139" i="1"/>
  <c r="Q139" i="1"/>
  <c r="M140" i="1"/>
  <c r="O140" i="1"/>
  <c r="P140" i="1"/>
  <c r="M141" i="1"/>
  <c r="N141" i="1"/>
  <c r="O141" i="1"/>
  <c r="P141" i="1"/>
  <c r="Q141" i="1"/>
  <c r="M142" i="1"/>
  <c r="O142" i="1"/>
  <c r="P142" i="1"/>
  <c r="M143" i="1"/>
  <c r="N143" i="1"/>
  <c r="O143" i="1"/>
  <c r="P143" i="1"/>
  <c r="Q143" i="1"/>
  <c r="M144" i="1"/>
  <c r="N144" i="1"/>
  <c r="O144" i="1"/>
  <c r="P144" i="1"/>
  <c r="M145" i="1"/>
  <c r="O145" i="1"/>
  <c r="P145" i="1"/>
  <c r="M146" i="1"/>
  <c r="N146" i="1"/>
  <c r="O146" i="1"/>
  <c r="P146" i="1"/>
  <c r="M147" i="1"/>
  <c r="N147" i="1"/>
  <c r="O147" i="1"/>
  <c r="P147" i="1"/>
  <c r="Q147" i="1"/>
  <c r="M148" i="1"/>
  <c r="N148" i="1"/>
  <c r="O148" i="1"/>
  <c r="P148" i="1"/>
  <c r="Q148" i="1"/>
  <c r="M149" i="1"/>
  <c r="N149" i="1"/>
  <c r="O149" i="1"/>
  <c r="P149" i="1"/>
  <c r="M150" i="1"/>
  <c r="N150" i="1"/>
  <c r="O150" i="1"/>
  <c r="P150" i="1"/>
  <c r="M151" i="1"/>
  <c r="N151" i="1"/>
  <c r="O151" i="1"/>
  <c r="P151" i="1"/>
  <c r="M152" i="1"/>
  <c r="N152" i="1"/>
  <c r="O152" i="1"/>
  <c r="P152" i="1"/>
  <c r="Q152" i="1"/>
  <c r="M153" i="1"/>
  <c r="N153" i="1"/>
  <c r="O153" i="1"/>
  <c r="P153" i="1"/>
  <c r="Q153" i="1"/>
  <c r="M154" i="1"/>
  <c r="N154" i="1"/>
  <c r="O154" i="1"/>
  <c r="P154" i="1"/>
  <c r="Q154" i="1"/>
  <c r="M155" i="1"/>
  <c r="O155" i="1"/>
  <c r="P155" i="1"/>
  <c r="M156" i="1"/>
  <c r="N156" i="1"/>
  <c r="O156" i="1"/>
  <c r="P156" i="1"/>
  <c r="Q156" i="1"/>
  <c r="M157" i="1"/>
  <c r="N157" i="1"/>
  <c r="O157" i="1"/>
  <c r="P157" i="1"/>
  <c r="Q157" i="1"/>
  <c r="M158" i="1"/>
  <c r="N158" i="1"/>
  <c r="O158" i="1"/>
  <c r="P158" i="1"/>
  <c r="Q158" i="1"/>
  <c r="M159" i="1"/>
  <c r="O159" i="1"/>
  <c r="P159" i="1"/>
  <c r="M160" i="1"/>
  <c r="N160" i="1"/>
  <c r="O160" i="1"/>
  <c r="P160" i="1"/>
  <c r="Q160" i="1"/>
  <c r="M161" i="1"/>
  <c r="O161" i="1"/>
  <c r="P161" i="1"/>
  <c r="M162" i="1"/>
  <c r="N162" i="1"/>
  <c r="O162" i="1"/>
  <c r="P162" i="1"/>
  <c r="Q162" i="1"/>
  <c r="M163" i="1"/>
  <c r="N163" i="1"/>
  <c r="O163" i="1"/>
  <c r="P163" i="1"/>
  <c r="Q163" i="1"/>
  <c r="M164" i="1"/>
  <c r="N164" i="1"/>
  <c r="O164" i="1"/>
  <c r="P164" i="1"/>
  <c r="M165" i="1"/>
  <c r="N165" i="1"/>
  <c r="O165" i="1"/>
  <c r="P165" i="1"/>
  <c r="Q165" i="1"/>
  <c r="M166" i="1"/>
  <c r="N166" i="1"/>
  <c r="O166" i="1"/>
  <c r="P166" i="1"/>
  <c r="M167" i="1"/>
  <c r="N167" i="1"/>
  <c r="O167" i="1"/>
  <c r="P167" i="1"/>
  <c r="M168" i="1"/>
  <c r="N168" i="1"/>
  <c r="O168" i="1"/>
  <c r="P168" i="1"/>
  <c r="Q168" i="1"/>
  <c r="M169" i="1"/>
  <c r="N169" i="1"/>
  <c r="O169" i="1"/>
  <c r="P169" i="1"/>
  <c r="Q169" i="1"/>
  <c r="M170" i="1"/>
  <c r="N170" i="1"/>
  <c r="O170" i="1"/>
  <c r="P170" i="1"/>
  <c r="Q170" i="1"/>
  <c r="M171" i="1"/>
  <c r="N171" i="1"/>
  <c r="O171" i="1"/>
  <c r="P171" i="1"/>
  <c r="Q171" i="1"/>
  <c r="M172" i="1"/>
  <c r="N172" i="1"/>
  <c r="O172" i="1"/>
  <c r="P172" i="1"/>
  <c r="M173" i="1"/>
  <c r="O173" i="1"/>
  <c r="P173" i="1"/>
  <c r="M174" i="1"/>
  <c r="O174" i="1"/>
  <c r="P174" i="1"/>
  <c r="M175" i="1"/>
  <c r="N175" i="1"/>
  <c r="O175" i="1"/>
  <c r="P175" i="1"/>
  <c r="M176" i="1"/>
  <c r="N176" i="1"/>
  <c r="O176" i="1"/>
  <c r="P176" i="1"/>
  <c r="Q176" i="1"/>
  <c r="M177" i="1"/>
  <c r="O177" i="1"/>
  <c r="P177" i="1"/>
  <c r="M178" i="1"/>
  <c r="N178" i="1"/>
  <c r="O178" i="1"/>
  <c r="P178" i="1"/>
  <c r="Q178" i="1"/>
  <c r="M179" i="1"/>
  <c r="N179" i="1"/>
  <c r="O179" i="1"/>
  <c r="P179" i="1"/>
  <c r="Q179" i="1"/>
  <c r="M180" i="1"/>
  <c r="N180" i="1"/>
  <c r="O180" i="1"/>
  <c r="P180" i="1"/>
  <c r="M181" i="1"/>
  <c r="O181" i="1"/>
  <c r="P181" i="1"/>
  <c r="M182" i="1"/>
  <c r="O182" i="1"/>
  <c r="P182" i="1"/>
  <c r="M183" i="1"/>
  <c r="N183" i="1"/>
  <c r="O183" i="1"/>
  <c r="P183" i="1"/>
  <c r="Q183" i="1"/>
  <c r="M184" i="1"/>
  <c r="O184" i="1"/>
  <c r="P184" i="1"/>
  <c r="M185" i="1"/>
  <c r="N185" i="1"/>
  <c r="O185" i="1"/>
  <c r="P185" i="1"/>
  <c r="Q185" i="1"/>
  <c r="M186" i="1"/>
  <c r="N186" i="1"/>
  <c r="O186" i="1"/>
  <c r="P186" i="1"/>
  <c r="Q186" i="1"/>
  <c r="M187" i="1"/>
  <c r="O187" i="1"/>
  <c r="P187" i="1"/>
  <c r="M188" i="1"/>
  <c r="O188" i="1"/>
  <c r="P188" i="1"/>
  <c r="M189" i="1"/>
  <c r="O189" i="1"/>
  <c r="P189" i="1"/>
  <c r="M190" i="1"/>
  <c r="O190" i="1"/>
  <c r="P190" i="1"/>
  <c r="M191" i="1"/>
  <c r="O191" i="1"/>
  <c r="P191" i="1"/>
  <c r="M192" i="1"/>
  <c r="N192" i="1"/>
  <c r="O192" i="1"/>
  <c r="P192" i="1"/>
  <c r="M193" i="1"/>
  <c r="N193" i="1"/>
  <c r="O193" i="1"/>
  <c r="P193" i="1"/>
  <c r="Q193" i="1"/>
  <c r="M194" i="1"/>
  <c r="O194" i="1"/>
  <c r="P194" i="1"/>
  <c r="M195" i="1"/>
  <c r="N195" i="1"/>
  <c r="O195" i="1"/>
  <c r="P195" i="1"/>
  <c r="Q195" i="1"/>
  <c r="M196" i="1"/>
  <c r="O196" i="1"/>
  <c r="P196" i="1"/>
  <c r="M197" i="1"/>
  <c r="O197" i="1"/>
  <c r="P197" i="1"/>
  <c r="M198" i="1"/>
  <c r="N198" i="1"/>
  <c r="O198" i="1"/>
  <c r="P198" i="1"/>
  <c r="M199" i="1"/>
  <c r="N199" i="1"/>
  <c r="O199" i="1"/>
  <c r="P199" i="1"/>
  <c r="Q199" i="1"/>
  <c r="M200" i="1"/>
  <c r="N200" i="1"/>
  <c r="O200" i="1"/>
  <c r="P200" i="1"/>
  <c r="Q200" i="1"/>
  <c r="M201" i="1"/>
  <c r="O201" i="1"/>
  <c r="P201" i="1"/>
  <c r="M202" i="1"/>
  <c r="N202" i="1"/>
  <c r="O202" i="1"/>
  <c r="P202" i="1"/>
  <c r="Q202" i="1"/>
  <c r="M203" i="1"/>
  <c r="O203" i="1"/>
  <c r="P203" i="1"/>
  <c r="M204" i="1"/>
  <c r="O204" i="1"/>
  <c r="P204" i="1"/>
  <c r="M205" i="1"/>
  <c r="O205" i="1"/>
  <c r="P205" i="1"/>
  <c r="M206" i="1"/>
  <c r="N206" i="1"/>
  <c r="O206" i="1"/>
  <c r="P206" i="1"/>
  <c r="M207" i="1"/>
  <c r="N207" i="1"/>
  <c r="O207" i="1"/>
  <c r="P207" i="1"/>
  <c r="Q207" i="1"/>
  <c r="M208" i="1"/>
  <c r="N208" i="1"/>
  <c r="O208" i="1"/>
  <c r="P208" i="1"/>
  <c r="Q208" i="1"/>
  <c r="M209" i="1"/>
  <c r="N209" i="1"/>
  <c r="O209" i="1"/>
  <c r="P209" i="1"/>
  <c r="Q209" i="1"/>
  <c r="M210" i="1"/>
  <c r="O210" i="1"/>
  <c r="P210" i="1"/>
  <c r="M211" i="1"/>
  <c r="O211" i="1"/>
  <c r="P211" i="1"/>
  <c r="M212" i="1"/>
  <c r="N212" i="1"/>
  <c r="O212" i="1"/>
  <c r="P212" i="1"/>
  <c r="Q212" i="1"/>
  <c r="M213" i="1"/>
  <c r="N213" i="1"/>
  <c r="O213" i="1"/>
  <c r="P213" i="1"/>
  <c r="Q213" i="1"/>
  <c r="M214" i="1"/>
  <c r="N214" i="1"/>
  <c r="O214" i="1"/>
  <c r="P214" i="1"/>
  <c r="Q214" i="1"/>
  <c r="M215" i="1"/>
  <c r="N215" i="1"/>
  <c r="O215" i="1"/>
  <c r="P215" i="1"/>
  <c r="M216" i="1"/>
  <c r="N216" i="1"/>
  <c r="O216" i="1"/>
  <c r="P216" i="1"/>
  <c r="Q216" i="1"/>
  <c r="M217" i="1"/>
  <c r="N217" i="1"/>
  <c r="O217" i="1"/>
  <c r="P217" i="1"/>
  <c r="Q217" i="1"/>
  <c r="M218" i="1"/>
  <c r="O218" i="1"/>
  <c r="P218" i="1"/>
  <c r="M219" i="1"/>
  <c r="O219" i="1"/>
  <c r="P219" i="1"/>
  <c r="M220" i="1"/>
  <c r="N220" i="1"/>
  <c r="O220" i="1"/>
  <c r="P220" i="1"/>
  <c r="Q220" i="1"/>
  <c r="M221" i="1"/>
  <c r="N221" i="1"/>
  <c r="O221" i="1"/>
  <c r="P221" i="1"/>
  <c r="M222" i="1"/>
  <c r="N222" i="1"/>
  <c r="O222" i="1"/>
  <c r="P222" i="1"/>
  <c r="Q222" i="1"/>
  <c r="M223" i="1"/>
  <c r="O223" i="1"/>
  <c r="P223" i="1"/>
  <c r="M224" i="1"/>
  <c r="N224" i="1"/>
  <c r="O224" i="1"/>
  <c r="P224" i="1"/>
  <c r="M225" i="1"/>
  <c r="O225" i="1"/>
  <c r="P225" i="1"/>
  <c r="M226" i="1"/>
  <c r="O226" i="1"/>
  <c r="P226" i="1"/>
  <c r="M227" i="1"/>
  <c r="N227" i="1"/>
  <c r="O227" i="1"/>
  <c r="P227" i="1"/>
  <c r="Q227" i="1"/>
  <c r="M228" i="1"/>
  <c r="N228" i="1"/>
  <c r="O228" i="1"/>
  <c r="P228" i="1"/>
  <c r="Q228" i="1"/>
  <c r="M229" i="1"/>
  <c r="N229" i="1"/>
  <c r="O229" i="1"/>
  <c r="P229" i="1"/>
  <c r="Q229" i="1"/>
  <c r="M230" i="1"/>
  <c r="N230" i="1"/>
  <c r="O230" i="1"/>
  <c r="P230" i="1"/>
  <c r="Q230" i="1"/>
  <c r="M231" i="1"/>
  <c r="N231" i="1"/>
  <c r="O231" i="1"/>
  <c r="P231" i="1"/>
  <c r="P2" i="1"/>
  <c r="O2" i="1"/>
  <c r="N2" i="1"/>
  <c r="M2" i="1"/>
  <c r="I3" i="8"/>
  <c r="N59" i="1" l="1"/>
  <c r="Q59" i="1" s="1"/>
  <c r="Q115" i="1"/>
  <c r="N120" i="1"/>
  <c r="Q120" i="1" s="1"/>
  <c r="N130" i="1"/>
  <c r="Q130" i="1" s="1"/>
  <c r="Q144" i="1"/>
  <c r="N161" i="1"/>
  <c r="Q161" i="1" s="1"/>
  <c r="Q164" i="1"/>
  <c r="Q167" i="1"/>
  <c r="N173" i="1"/>
  <c r="Q173" i="1" s="1"/>
  <c r="N182" i="1"/>
  <c r="Q182" i="1" s="1"/>
  <c r="Q31" i="1"/>
  <c r="N128" i="1"/>
  <c r="Q128" i="1" s="1"/>
  <c r="N140" i="1"/>
  <c r="Q140" i="1" s="1"/>
  <c r="Q149" i="1"/>
  <c r="Q151" i="1"/>
  <c r="N210" i="1"/>
  <c r="Q210" i="1" s="1"/>
  <c r="N218" i="1"/>
  <c r="Q218" i="1" s="1"/>
  <c r="N223" i="1"/>
  <c r="Q223" i="1" s="1"/>
  <c r="Q224" i="1"/>
  <c r="N225" i="1"/>
  <c r="Q225" i="1" s="1"/>
  <c r="N226" i="1"/>
  <c r="Q226" i="1" s="1"/>
  <c r="Q231" i="1"/>
  <c r="Q2" i="1"/>
  <c r="N60" i="1"/>
  <c r="N114" i="1"/>
  <c r="Q114" i="1" s="1"/>
  <c r="N117" i="1"/>
  <c r="Q117" i="1" s="1"/>
  <c r="N118" i="1"/>
  <c r="Q118" i="1" s="1"/>
  <c r="N122" i="1"/>
  <c r="Q122" i="1" s="1"/>
  <c r="N135" i="1"/>
  <c r="Q135" i="1" s="1"/>
  <c r="N136" i="1"/>
  <c r="Q136" i="1" s="1"/>
  <c r="N142" i="1"/>
  <c r="Q142" i="1" s="1"/>
  <c r="N145" i="1"/>
  <c r="Q145" i="1" s="1"/>
  <c r="Q150" i="1"/>
  <c r="N155" i="1"/>
  <c r="Q155" i="1" s="1"/>
  <c r="N159" i="1"/>
  <c r="Q159" i="1" s="1"/>
  <c r="Q166" i="1"/>
  <c r="Q172" i="1"/>
  <c r="N174" i="1"/>
  <c r="Q174" i="1" s="1"/>
  <c r="N177" i="1"/>
  <c r="Q177" i="1" s="1"/>
  <c r="Q180" i="1"/>
  <c r="N181" i="1"/>
  <c r="Q181" i="1" s="1"/>
  <c r="N187" i="1"/>
  <c r="Q187" i="1" s="1"/>
  <c r="N189" i="1"/>
  <c r="Q189" i="1" s="1"/>
  <c r="N190" i="1"/>
  <c r="Q190" i="1" s="1"/>
  <c r="Q192" i="1"/>
  <c r="N194" i="1"/>
  <c r="Q194" i="1" s="1"/>
  <c r="N197" i="1"/>
  <c r="Q197" i="1" s="1"/>
  <c r="Q198" i="1"/>
  <c r="N203" i="1"/>
  <c r="Q203" i="1" s="1"/>
  <c r="N204" i="1"/>
  <c r="Q206" i="1"/>
  <c r="N211" i="1"/>
  <c r="Q211" i="1" s="1"/>
  <c r="N219" i="1"/>
  <c r="Q219" i="1" s="1"/>
  <c r="N184" i="1"/>
  <c r="Q184" i="1" s="1"/>
  <c r="N188" i="1"/>
  <c r="Q188" i="1" s="1"/>
  <c r="N191" i="1"/>
  <c r="Q191" i="1" s="1"/>
  <c r="N196" i="1"/>
  <c r="Q196" i="1" s="1"/>
  <c r="Q215" i="1"/>
  <c r="Q221" i="1"/>
  <c r="N201" i="1"/>
  <c r="Q201" i="1" s="1"/>
  <c r="N205" i="1"/>
  <c r="Q205" i="1" s="1"/>
  <c r="Q60" i="1"/>
  <c r="N89" i="1"/>
  <c r="Q89" i="1" s="1"/>
  <c r="Q146" i="1"/>
  <c r="Q175" i="1"/>
  <c r="Q20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B33DF9-4B3D-415B-8E47-3D642F94CD7D}" keepAlive="1" name="Query - capture_data_summary_by_orbit" description="Connection to the 'capture_data_summary_by_orbit' query in the workbook." type="5" refreshedVersion="8" background="1" saveData="1">
    <dbPr connection="Provider=Microsoft.Mashup.OleDb.1;Data Source=$Workbook$;Location=capture_data_summary_by_orbit;Extended Properties=&quot;&quot;" command="SELECT * FROM [capture_data_summary_by_orbit]"/>
  </connection>
  <connection id="2" xr16:uid="{BE28D92E-6D8D-41A5-86B4-11F09AA62F10}" keepAlive="1" name="Query - capture_data_top_avg_exp_rate" description="Connection to the 'capture_data_top_avg_exp_rate' query in the workbook." type="5" refreshedVersion="8" background="1" saveData="1">
    <dbPr connection="Provider=Microsoft.Mashup.OleDb.1;Data Source=$Workbook$;Location=capture_data_top_avg_exp_rate;Extended Properties=&quot;&quot;" command="SELECT * FROM [capture_data_top_avg_exp_rate]"/>
  </connection>
  <connection id="3" xr16:uid="{14DEEA9E-5FD2-4887-9A69-9FBECF1839D8}" keepAlive="1" name="Query - capture_data_top_phi_exit" description="Connection to the 'capture_data_top_phi_exit' query in the workbook." type="5" refreshedVersion="8" background="1" saveData="1">
    <dbPr connection="Provider=Microsoft.Mashup.OleDb.1;Data Source=$Workbook$;Location=capture_data_top_phi_exit;Extended Properties=&quot;&quot;" command="SELECT * FROM [capture_data_top_phi_exit]"/>
  </connection>
</connections>
</file>

<file path=xl/sharedStrings.xml><?xml version="1.0" encoding="utf-8"?>
<sst xmlns="http://schemas.openxmlformats.org/spreadsheetml/2006/main" count="202" uniqueCount="118">
  <si>
    <t>orbit_idx</t>
  </si>
  <si>
    <t>t_entry</t>
  </si>
  <si>
    <t>t_exit</t>
  </si>
  <si>
    <t>duration</t>
  </si>
  <si>
    <t>r_entry</t>
  </si>
  <si>
    <t>r_exit</t>
  </si>
  <si>
    <t>v_entry</t>
  </si>
  <si>
    <t>v_exit</t>
  </si>
  <si>
    <t>stm_entry</t>
  </si>
  <si>
    <t>stm_exit</t>
  </si>
  <si>
    <t>dstm_entry</t>
  </si>
  <si>
    <t>dstm_exit</t>
  </si>
  <si>
    <t>duration_1</t>
  </si>
  <si>
    <t>duration_2</t>
  </si>
  <si>
    <t>duration_3</t>
  </si>
  <si>
    <t>duration_4</t>
  </si>
  <si>
    <t>stm_entry_5</t>
  </si>
  <si>
    <t>stm_entry_6</t>
  </si>
  <si>
    <t>stm_entry_7</t>
  </si>
  <si>
    <t>stm_exit_8</t>
  </si>
  <si>
    <t>stm_exit_9</t>
  </si>
  <si>
    <t>stm_exit_10</t>
  </si>
  <si>
    <t>dstm_entry_11</t>
  </si>
  <si>
    <t>dstm_entry_12</t>
  </si>
  <si>
    <t>dstm_entry_13</t>
  </si>
  <si>
    <t>dstm_exit_14</t>
  </si>
  <si>
    <t>dstm_exit_15</t>
  </si>
  <si>
    <t>dstm_exit_16</t>
  </si>
  <si>
    <t>avg_exp_rate</t>
  </si>
  <si>
    <t>avg_exp_rate_17</t>
  </si>
  <si>
    <t>avg_exp_rate_18</t>
  </si>
  <si>
    <t>avg_exp_rate_19</t>
  </si>
  <si>
    <t>count</t>
  </si>
  <si>
    <t>mean</t>
  </si>
  <si>
    <t>median</t>
  </si>
  <si>
    <t>min</t>
  </si>
  <si>
    <t>max</t>
  </si>
  <si>
    <t>73</t>
  </si>
  <si>
    <t>1.0238656648913778</t>
  </si>
  <si>
    <t>0.8747068654459431</t>
  </si>
  <si>
    <t>0.5316106380511982</t>
  </si>
  <si>
    <t>5.500850502955306</t>
  </si>
  <si>
    <t>54939.26931364436</t>
  </si>
  <si>
    <t>41.59385081345691</t>
  </si>
  <si>
    <t>2.4770260772699806</t>
  </si>
  <si>
    <t>2773306.4199319226</t>
  </si>
  <si>
    <t>145169.4002771574</t>
  </si>
  <si>
    <t>237.3463396355678</t>
  </si>
  <si>
    <t>25.07129116640626</t>
  </si>
  <si>
    <t>5900921.623711382</t>
  </si>
  <si>
    <t>4037.4197919660332</t>
  </si>
  <si>
    <t>82.22588862377582</t>
  </si>
  <si>
    <t>-232286.65721569728</t>
  </si>
  <si>
    <t>250464.223192105</t>
  </si>
  <si>
    <t>148591.39382058723</t>
  </si>
  <si>
    <t>67.51230820785725</t>
  </si>
  <si>
    <t>-676361.0846306882</t>
  </si>
  <si>
    <t>11870138.390498046</t>
  </si>
  <si>
    <t>1.8019857210821577</t>
  </si>
  <si>
    <t>2.3722542090085006</t>
  </si>
  <si>
    <t>-2.008680728701802</t>
  </si>
  <si>
    <t>2.976950087396391</t>
  </si>
  <si>
    <t>77</t>
  </si>
  <si>
    <t>0.7568486351991682</t>
  </si>
  <si>
    <t>0.7917605247571036</t>
  </si>
  <si>
    <t>0.5127591969855527</t>
  </si>
  <si>
    <t>0.8483148479540397</t>
  </si>
  <si>
    <t>255027.67918436404</t>
  </si>
  <si>
    <t>44.40732971400036</t>
  </si>
  <si>
    <t>2.4773179323281638</t>
  </si>
  <si>
    <t>19511918.41695538</t>
  </si>
  <si>
    <t>138594.13904660326</t>
  </si>
  <si>
    <t>215.3628427205265</t>
  </si>
  <si>
    <t>20.43927996032193</t>
  </si>
  <si>
    <t>10636900.084332978</t>
  </si>
  <si>
    <t>-398508.49545662693</t>
  </si>
  <si>
    <t>62.73938294804775</t>
  </si>
  <si>
    <t>-29205897.219204165</t>
  </si>
  <si>
    <t>36470.86062690584</t>
  </si>
  <si>
    <t>-65548.23209882108</t>
  </si>
  <si>
    <t>66.88760471577731</t>
  </si>
  <si>
    <t>-5070438.153489547</t>
  </si>
  <si>
    <t>3897.736438462664</t>
  </si>
  <si>
    <t>1.6315710347779533</t>
  </si>
  <si>
    <t>2.289817280887375</t>
  </si>
  <si>
    <t>-5.541112580057089</t>
  </si>
  <si>
    <t>2.6515265978250877</t>
  </si>
  <si>
    <t>80</t>
  </si>
  <si>
    <t>0.6717711023742712</t>
  </si>
  <si>
    <t>0.6786518783632318</t>
  </si>
  <si>
    <t>0.5843946730350051</t>
  </si>
  <si>
    <t>0.68619245478949</t>
  </si>
  <si>
    <t>27899.915807483096</t>
  </si>
  <si>
    <t>41.77578490429323</t>
  </si>
  <si>
    <t>2.449489742783178</t>
  </si>
  <si>
    <t>2222391.251004305</t>
  </si>
  <si>
    <t>54013.73960359489</t>
  </si>
  <si>
    <t>170.89075367413068</t>
  </si>
  <si>
    <t>17.015140085601054</t>
  </si>
  <si>
    <t>4302062.722456627</t>
  </si>
  <si>
    <t>36000.53949393177</t>
  </si>
  <si>
    <t>74.69545002116661</t>
  </si>
  <si>
    <t>-3947.2763680942408</t>
  </si>
  <si>
    <t>2871451.858527075</t>
  </si>
  <si>
    <t>49024.612580099856</t>
  </si>
  <si>
    <t>60.879726813519724</t>
  </si>
  <si>
    <t>0.5174553923873921</t>
  </si>
  <si>
    <t>3905292.960262829</t>
  </si>
  <si>
    <t>2.044021104717348</t>
  </si>
  <si>
    <t>2.0774267786129927</t>
  </si>
  <si>
    <t>-0.3764285369229516</t>
  </si>
  <si>
    <t>3.167969198153809</t>
  </si>
  <si>
    <t>Phi_growth_ratio</t>
  </si>
  <si>
    <t>log_Phi_growth</t>
  </si>
  <si>
    <t>dPhi_rate_ratio</t>
  </si>
  <si>
    <t>dPhi_rate_delta</t>
  </si>
  <si>
    <t>3.0000 &amp; 73.0000 &amp; 0.8747 &amp; 41.5939 &amp; 237.3463 &amp; 82.2259 &amp; 67.5123 &amp; 2.3723 &amp; 4.0000 &amp; 77.0000 &amp; 0.7918 &amp; 44.4073 &amp; 215.3628 &amp; 62.7394 &amp; 66.8876 &amp; 2.2898 &amp; 7.0000 &amp; 80.0000 &amp; 0.6787 &amp; 41.7758 &amp; 170.8908 &amp; 74.6955 &amp; 60.8797 &amp; 2.0774</t>
  </si>
  <si>
    <t>Phi_growth_ratio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</si>
</sst>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6" formatCode="0.000"/>
    <numFmt numFmtId="167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NumberFormat="1"/>
    <xf numFmtId="0" fontId="13" fillId="33" borderId="11" xfId="0" applyFont="1" applyFill="1" applyBorder="1"/>
    <xf numFmtId="0" fontId="0" fillId="34" borderId="10" xfId="0" applyFont="1" applyFill="1" applyBorder="1"/>
    <xf numFmtId="0" fontId="0" fillId="0" borderId="10" xfId="0" applyFont="1" applyBorder="1"/>
    <xf numFmtId="0" fontId="13" fillId="33" borderId="12" xfId="0" applyFont="1" applyFill="1" applyBorder="1"/>
    <xf numFmtId="164" fontId="0" fillId="0" borderId="0" xfId="0" applyNumberFormat="1"/>
    <xf numFmtId="166" fontId="0" fillId="0" borderId="0" xfId="0" applyNumberFormat="1"/>
    <xf numFmtId="1" fontId="0" fillId="0" borderId="0" xfId="0" applyNumberFormat="1"/>
    <xf numFmtId="0" fontId="0" fillId="0" borderId="11" xfId="0" applyNumberFormat="1" applyFont="1" applyBorder="1"/>
    <xf numFmtId="0" fontId="0" fillId="34" borderId="11" xfId="0" applyNumberFormat="1" applyFont="1" applyFill="1" applyBorder="1"/>
    <xf numFmtId="167" fontId="0" fillId="0" borderId="11" xfId="0" applyNumberFormat="1" applyFont="1" applyBorder="1"/>
    <xf numFmtId="167" fontId="0" fillId="34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A302B7-7471-451D-8B31-E8291116FCF8}" autoFormatId="16" applyNumberFormats="0" applyBorderFormats="0" applyFontFormats="0" applyPatternFormats="0" applyAlignmentFormats="0" applyWidthHeightFormats="0">
  <queryTableRefresh nextId="27">
    <queryTableFields count="26">
      <queryTableField id="1" name="orbit_idx" tableColumnId="1"/>
      <queryTableField id="2" name="duration" tableColumnId="2"/>
      <queryTableField id="3" name="duration_1" tableColumnId="3"/>
      <queryTableField id="4" name="duration_2" tableColumnId="4"/>
      <queryTableField id="5" name="duration_3" tableColumnId="5"/>
      <queryTableField id="6" name="duration_4" tableColumnId="6"/>
      <queryTableField id="7" name="stm_entry" tableColumnId="7"/>
      <queryTableField id="8" name="stm_entry_5" tableColumnId="8"/>
      <queryTableField id="9" name="stm_entry_6" tableColumnId="9"/>
      <queryTableField id="10" name="stm_entry_7" tableColumnId="10"/>
      <queryTableField id="11" name="stm_exit" tableColumnId="11"/>
      <queryTableField id="12" name="stm_exit_8" tableColumnId="12"/>
      <queryTableField id="13" name="stm_exit_9" tableColumnId="13"/>
      <queryTableField id="14" name="stm_exit_10" tableColumnId="14"/>
      <queryTableField id="15" name="dstm_entry" tableColumnId="15"/>
      <queryTableField id="16" name="dstm_entry_11" tableColumnId="16"/>
      <queryTableField id="17" name="dstm_entry_12" tableColumnId="17"/>
      <queryTableField id="18" name="dstm_entry_13" tableColumnId="18"/>
      <queryTableField id="19" name="dstm_exit" tableColumnId="19"/>
      <queryTableField id="20" name="dstm_exit_14" tableColumnId="20"/>
      <queryTableField id="21" name="dstm_exit_15" tableColumnId="21"/>
      <queryTableField id="22" name="dstm_exit_16" tableColumnId="22"/>
      <queryTableField id="23" name="avg_exp_rate" tableColumnId="23"/>
      <queryTableField id="24" name="avg_exp_rate_17" tableColumnId="24"/>
      <queryTableField id="25" name="avg_exp_rate_18" tableColumnId="25"/>
      <queryTableField id="26" name="avg_exp_rate_19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E3F1612-4121-41C8-A9F8-7F73414C847D}" autoFormatId="16" applyNumberFormats="0" applyBorderFormats="0" applyFontFormats="0" applyPatternFormats="0" applyAlignmentFormats="0" applyWidthHeightFormats="0">
  <queryTableRefresh nextId="18">
    <queryTableFields count="17">
      <queryTableField id="1" name="orbit_idx" tableColumnId="1"/>
      <queryTableField id="2" name="t_entry" tableColumnId="2"/>
      <queryTableField id="3" name="t_exit" tableColumnId="3"/>
      <queryTableField id="4" name="duration" tableColumnId="4"/>
      <queryTableField id="5" name="r_entry" tableColumnId="5"/>
      <queryTableField id="6" name="r_exit" tableColumnId="6"/>
      <queryTableField id="7" name="v_entry" tableColumnId="7"/>
      <queryTableField id="8" name="v_exit" tableColumnId="8"/>
      <queryTableField id="9" name="stm_entry" tableColumnId="9"/>
      <queryTableField id="10" name="stm_exit" tableColumnId="10"/>
      <queryTableField id="11" name="dstm_entry" tableColumnId="11"/>
      <queryTableField id="12" name="dstm_exit" tableColumnId="12"/>
      <queryTableField id="13" name="Phi_growth_ratio" tableColumnId="13"/>
      <queryTableField id="14" name="log_Phi_growth" tableColumnId="14"/>
      <queryTableField id="15" name="dPhi_rate_ratio" tableColumnId="15"/>
      <queryTableField id="16" name="dPhi_rate_delta" tableColumnId="16"/>
      <queryTableField id="17" name="avg_exp_rate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38F4520-CDA0-4057-8ECD-B087F9C755DC}" autoFormatId="16" applyNumberFormats="0" applyBorderFormats="0" applyFontFormats="0" applyPatternFormats="0" applyAlignmentFormats="0" applyWidthHeightFormats="0">
  <queryTableRefresh nextId="18">
    <queryTableFields count="17">
      <queryTableField id="1" name="orbit_idx" tableColumnId="1"/>
      <queryTableField id="2" name="t_entry" tableColumnId="2"/>
      <queryTableField id="3" name="t_exit" tableColumnId="3"/>
      <queryTableField id="4" name="duration" tableColumnId="4"/>
      <queryTableField id="5" name="r_entry" tableColumnId="5"/>
      <queryTableField id="6" name="r_exit" tableColumnId="6"/>
      <queryTableField id="7" name="v_entry" tableColumnId="7"/>
      <queryTableField id="8" name="v_exit" tableColumnId="8"/>
      <queryTableField id="9" name="stm_entry" tableColumnId="9"/>
      <queryTableField id="10" name="stm_exit" tableColumnId="10"/>
      <queryTableField id="11" name="dstm_entry" tableColumnId="11"/>
      <queryTableField id="12" name="dstm_exit" tableColumnId="12"/>
      <queryTableField id="13" name="Phi_growth_ratio" tableColumnId="13"/>
      <queryTableField id="14" name="log_Phi_growth" tableColumnId="14"/>
      <queryTableField id="15" name="dPhi_rate_ratio" tableColumnId="15"/>
      <queryTableField id="16" name="dPhi_rate_delta" tableColumnId="16"/>
      <queryTableField id="17" name="avg_exp_rat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9FAFFE-61C2-4AD3-ABAC-AFE76047D58E}" name="capture_data_summary_by_orbit" displayName="capture_data_summary_by_orbit" ref="A1:Z5" tableType="queryTable" totalsRowShown="0">
  <autoFilter ref="A1:Z5" xr:uid="{DC9FAFFE-61C2-4AD3-ABAC-AFE76047D58E}"/>
  <tableColumns count="26">
    <tableColumn id="1" xr3:uid="{16434161-7F47-4F78-851D-AEA23AD2C6D3}" uniqueName="1" name="orbit_idx" queryTableFieldId="1"/>
    <tableColumn id="2" xr3:uid="{149686C7-5DC3-49EA-B1D4-7FA490A527F0}" uniqueName="2" name="duration" queryTableFieldId="2" dataDxfId="24"/>
    <tableColumn id="3" xr3:uid="{E5FE8269-251D-4FCF-BAB4-A482C8E62571}" uniqueName="3" name="duration_1" queryTableFieldId="3" dataDxfId="23"/>
    <tableColumn id="4" xr3:uid="{E7F41978-4CDF-4AA5-9563-6B8EDB26CEDF}" uniqueName="4" name="duration_2" queryTableFieldId="4" dataDxfId="22"/>
    <tableColumn id="5" xr3:uid="{89F41539-4FF7-4841-B1B6-857204AC0E0C}" uniqueName="5" name="duration_3" queryTableFieldId="5" dataDxfId="21"/>
    <tableColumn id="6" xr3:uid="{675EB34D-69D0-4F2F-A2DD-7239E8CA112F}" uniqueName="6" name="duration_4" queryTableFieldId="6" dataDxfId="20"/>
    <tableColumn id="7" xr3:uid="{2820F4D2-32F5-4C7C-8EC4-C0C3E5D751B0}" uniqueName="7" name="stm_entry" queryTableFieldId="7" dataDxfId="19"/>
    <tableColumn id="8" xr3:uid="{DF329F50-286F-4DC5-AA8A-09D47722C003}" uniqueName="8" name="stm_entry_5" queryTableFieldId="8" dataDxfId="18"/>
    <tableColumn id="9" xr3:uid="{1C71D0FA-77B1-44F9-BC03-7F79015680B9}" uniqueName="9" name="stm_entry_6" queryTableFieldId="9" dataDxfId="17"/>
    <tableColumn id="10" xr3:uid="{899E86DB-9979-495C-944F-2337CD65E5B2}" uniqueName="10" name="stm_entry_7" queryTableFieldId="10" dataDxfId="16"/>
    <tableColumn id="11" xr3:uid="{F8021543-0D3F-43CB-9078-0CED133796FB}" uniqueName="11" name="stm_exit" queryTableFieldId="11" dataDxfId="15"/>
    <tableColumn id="12" xr3:uid="{827400BD-3256-4CF5-BAFC-C06B2C0F583A}" uniqueName="12" name="stm_exit_8" queryTableFieldId="12" dataDxfId="14"/>
    <tableColumn id="13" xr3:uid="{5D4CF163-D28E-4F37-8584-7671EC5C629E}" uniqueName="13" name="stm_exit_9" queryTableFieldId="13" dataDxfId="13"/>
    <tableColumn id="14" xr3:uid="{7AAEF00F-F8BC-411B-89BD-12B39794DCCA}" uniqueName="14" name="stm_exit_10" queryTableFieldId="14" dataDxfId="12"/>
    <tableColumn id="15" xr3:uid="{8505A5D9-1E7B-4219-88D4-228355BAD680}" uniqueName="15" name="dstm_entry" queryTableFieldId="15" dataDxfId="11"/>
    <tableColumn id="16" xr3:uid="{F5102964-5F95-4E0D-BAA4-55CF6FC045D1}" uniqueName="16" name="dstm_entry_11" queryTableFieldId="16" dataDxfId="10"/>
    <tableColumn id="17" xr3:uid="{93FEBD73-344D-4461-8EF7-C680B7C63E5E}" uniqueName="17" name="dstm_entry_12" queryTableFieldId="17" dataDxfId="9"/>
    <tableColumn id="18" xr3:uid="{7C86C4D5-4955-4CBA-91F5-80AB725CFF20}" uniqueName="18" name="dstm_entry_13" queryTableFieldId="18" dataDxfId="8"/>
    <tableColumn id="19" xr3:uid="{FA59EE20-04D9-4637-BB54-E0A161DFF1A3}" uniqueName="19" name="dstm_exit" queryTableFieldId="19" dataDxfId="7"/>
    <tableColumn id="20" xr3:uid="{FCE519E6-90C4-43A9-9006-186CA7C294FA}" uniqueName="20" name="dstm_exit_14" queryTableFieldId="20" dataDxfId="6"/>
    <tableColumn id="21" xr3:uid="{5CC63AB8-E230-499A-B25F-5F6AFCB57F4A}" uniqueName="21" name="dstm_exit_15" queryTableFieldId="21" dataDxfId="5"/>
    <tableColumn id="22" xr3:uid="{1020164D-4402-4EC4-B790-2318142CA07C}" uniqueName="22" name="dstm_exit_16" queryTableFieldId="22" dataDxfId="4"/>
    <tableColumn id="23" xr3:uid="{D02C81C9-2E8E-40B4-B783-89AF01134669}" uniqueName="23" name="avg_exp_rate" queryTableFieldId="23" dataDxfId="3"/>
    <tableColumn id="24" xr3:uid="{33C684AE-ED41-4E69-9C03-C2BEA638BD5E}" uniqueName="24" name="avg_exp_rate_17" queryTableFieldId="24" dataDxfId="2"/>
    <tableColumn id="25" xr3:uid="{A4C7594C-FB6D-4D07-835B-5494B2F34C16}" uniqueName="25" name="avg_exp_rate_18" queryTableFieldId="25" dataDxfId="1"/>
    <tableColumn id="26" xr3:uid="{60F38AB9-62B5-4CA1-8278-2A4DF2BC0E74}" uniqueName="26" name="avg_exp_rate_19" queryTableFieldId="2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62F05E-AE12-4387-9C5B-85071EE6D093}" name="capture_data_top_avg_exp_rate" displayName="capture_data_top_avg_exp_rate" ref="A1:Q11" tableType="queryTable" totalsRowShown="0">
  <autoFilter ref="A1:Q11" xr:uid="{1C62F05E-AE12-4387-9C5B-85071EE6D093}"/>
  <tableColumns count="17">
    <tableColumn id="1" xr3:uid="{A4634868-4960-464D-A52A-DA2BC4877D48}" uniqueName="1" name="orbit_idx" queryTableFieldId="1"/>
    <tableColumn id="2" xr3:uid="{9F6D363E-A595-44E5-B282-74EE9B084DA1}" uniqueName="2" name="t_entry" queryTableFieldId="2"/>
    <tableColumn id="3" xr3:uid="{E11A6912-0963-4E26-8632-903651BBE7F8}" uniqueName="3" name="t_exit" queryTableFieldId="3"/>
    <tableColumn id="4" xr3:uid="{4207DC7D-0649-43DF-B9B2-9484F6B27057}" uniqueName="4" name="duration" queryTableFieldId="4"/>
    <tableColumn id="5" xr3:uid="{933BC32F-7CFD-4C49-A90F-A6E82DCE4148}" uniqueName="5" name="r_entry" queryTableFieldId="5"/>
    <tableColumn id="6" xr3:uid="{61D3CED3-6176-427F-8C3E-B5B7FF4C941D}" uniqueName="6" name="r_exit" queryTableFieldId="6"/>
    <tableColumn id="7" xr3:uid="{46C52CE7-1946-46D9-8186-172D48226989}" uniqueName="7" name="v_entry" queryTableFieldId="7"/>
    <tableColumn id="8" xr3:uid="{2FAF2A2B-3EFA-4B40-BFE3-348C7F70868D}" uniqueName="8" name="v_exit" queryTableFieldId="8"/>
    <tableColumn id="9" xr3:uid="{4715D8A2-905B-4860-8912-2E53934232EB}" uniqueName="9" name="stm_entry" queryTableFieldId="9"/>
    <tableColumn id="10" xr3:uid="{471366E7-8429-430C-984E-3AC72DC7795A}" uniqueName="10" name="stm_exit" queryTableFieldId="10"/>
    <tableColumn id="11" xr3:uid="{9894BB17-71DB-4346-9D7B-8DA031F39D0B}" uniqueName="11" name="dstm_entry" queryTableFieldId="11"/>
    <tableColumn id="12" xr3:uid="{8665061D-4B78-41A7-BB5E-65F2E2D22047}" uniqueName="12" name="dstm_exit" queryTableFieldId="12"/>
    <tableColumn id="13" xr3:uid="{31AE6194-2D85-4405-9F6C-4CEAFA83BADD}" uniqueName="13" name="Phi_growth_ratio" queryTableFieldId="13"/>
    <tableColumn id="14" xr3:uid="{DA195535-96F3-4DBA-930D-EC59C72CDB92}" uniqueName="14" name="log_Phi_growth" queryTableFieldId="14"/>
    <tableColumn id="15" xr3:uid="{863B6AC5-6CA9-40E5-BCC3-E410F0899BAE}" uniqueName="15" name="dPhi_rate_ratio" queryTableFieldId="15"/>
    <tableColumn id="16" xr3:uid="{FA3D356C-A467-4EB7-BD9B-F6E5CCB0A200}" uniqueName="16" name="dPhi_rate_delta" queryTableFieldId="16"/>
    <tableColumn id="17" xr3:uid="{E4AC8DBE-8E4D-49DA-A8FC-25764F491944}" uniqueName="17" name="avg_exp_rate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BBD9E1-CF98-4E3D-92B0-A8F3E57FD501}" name="capture_data_top_phi_exit" displayName="capture_data_top_phi_exit" ref="A1:Q11" tableType="queryTable" totalsRowShown="0">
  <autoFilter ref="A1:Q11" xr:uid="{B9BBD9E1-CF98-4E3D-92B0-A8F3E57FD501}"/>
  <tableColumns count="17">
    <tableColumn id="1" xr3:uid="{ABEF9CAA-2D12-4499-B1D4-13B846A7023B}" uniqueName="1" name="orbit_idx" queryTableFieldId="1"/>
    <tableColumn id="2" xr3:uid="{0CABBCF5-C833-4FD8-938D-1EF983AD293C}" uniqueName="2" name="t_entry" queryTableFieldId="2"/>
    <tableColumn id="3" xr3:uid="{683811A8-749A-4C0B-97B8-A87C777A524D}" uniqueName="3" name="t_exit" queryTableFieldId="3"/>
    <tableColumn id="4" xr3:uid="{343111E1-CF17-4DE4-AC06-6C4648655E40}" uniqueName="4" name="duration" queryTableFieldId="4"/>
    <tableColumn id="5" xr3:uid="{C24F7792-56F1-4888-828F-C1D2154E2358}" uniqueName="5" name="r_entry" queryTableFieldId="5"/>
    <tableColumn id="6" xr3:uid="{C7624892-1D0B-469B-97B8-3A48A4F77F1F}" uniqueName="6" name="r_exit" queryTableFieldId="6"/>
    <tableColumn id="7" xr3:uid="{61EE4227-3076-454C-A4EC-0F6DAE910735}" uniqueName="7" name="v_entry" queryTableFieldId="7"/>
    <tableColumn id="8" xr3:uid="{D47CE956-5F73-4BA8-9D38-3368706E5E17}" uniqueName="8" name="v_exit" queryTableFieldId="8"/>
    <tableColumn id="9" xr3:uid="{2D0A5334-ACB6-432D-A1A9-CECFAC60C1C6}" uniqueName="9" name="stm_entry" queryTableFieldId="9"/>
    <tableColumn id="10" xr3:uid="{05229B69-15B8-4452-90D1-47A4FC912AE4}" uniqueName="10" name="stm_exit" queryTableFieldId="10"/>
    <tableColumn id="11" xr3:uid="{E07C0BD8-A5FE-4CD2-AA7A-E32F4DC2BB54}" uniqueName="11" name="dstm_entry" queryTableFieldId="11"/>
    <tableColumn id="12" xr3:uid="{D052A468-9D29-4A78-8113-D21ED6463FD8}" uniqueName="12" name="dstm_exit" queryTableFieldId="12"/>
    <tableColumn id="13" xr3:uid="{247CA60A-A242-42DB-91BC-09EF41B91143}" uniqueName="13" name="Phi_growth_ratio" queryTableFieldId="13"/>
    <tableColumn id="14" xr3:uid="{0653972F-ECC0-4DF8-9A79-BC1AB0C333E1}" uniqueName="14" name="log_Phi_growth" queryTableFieldId="14"/>
    <tableColumn id="15" xr3:uid="{4CE0AFC8-1E22-4352-80A6-74EF98FE26B5}" uniqueName="15" name="dPhi_rate_ratio" queryTableFieldId="15"/>
    <tableColumn id="16" xr3:uid="{38207200-3712-4B21-BAD8-F5519A429AE7}" uniqueName="16" name="dPhi_rate_delta" queryTableFieldId="16"/>
    <tableColumn id="17" xr3:uid="{CD03CB70-8E5B-4A21-8B64-DFCB7C1B5783}" uniqueName="17" name="avg_exp_rate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02D8-8A80-4C5F-A09B-5BB8AD92FA00}">
  <sheetPr filterMode="1"/>
  <dimension ref="A1:Q231"/>
  <sheetViews>
    <sheetView topLeftCell="K1" workbookViewId="0">
      <selection activeCell="Q2" sqref="Q2:Q74"/>
    </sheetView>
  </sheetViews>
  <sheetFormatPr defaultRowHeight="14.4" x14ac:dyDescent="0.3"/>
  <cols>
    <col min="15" max="15" width="12.88671875" customWidth="1"/>
    <col min="16" max="16" width="14.5546875" customWidth="1"/>
    <col min="17" max="17" width="1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117</v>
      </c>
      <c r="N1" s="2" t="s">
        <v>113</v>
      </c>
      <c r="O1" s="2" t="s">
        <v>114</v>
      </c>
      <c r="P1" s="2" t="s">
        <v>115</v>
      </c>
      <c r="Q1" s="5" t="s">
        <v>28</v>
      </c>
    </row>
    <row r="2" spans="1:17" x14ac:dyDescent="0.3">
      <c r="A2">
        <v>3</v>
      </c>
      <c r="B2">
        <v>1.23665453390633</v>
      </c>
      <c r="C2">
        <v>2.0472664997290799</v>
      </c>
      <c r="D2">
        <v>0.81061196582274797</v>
      </c>
      <c r="E2">
        <v>0.159419123524562</v>
      </c>
      <c r="F2">
        <v>0.15892922482871799</v>
      </c>
      <c r="G2">
        <v>0.199105631482938</v>
      </c>
      <c r="H2">
        <v>0.24368113443266901</v>
      </c>
      <c r="I2">
        <v>20.112941622827599</v>
      </c>
      <c r="J2">
        <v>157.40620445558201</v>
      </c>
      <c r="K2">
        <v>51.447423466381302</v>
      </c>
      <c r="L2">
        <v>165.31932776672599</v>
      </c>
      <c r="M2">
        <f>J2/I2</f>
        <v>7.8261155134528204</v>
      </c>
      <c r="N2">
        <f>LN(M2)</f>
        <v>2.057466283895597</v>
      </c>
      <c r="O2">
        <f>L2/K2</f>
        <v>3.2133645696514836</v>
      </c>
      <c r="P2">
        <f>L2-K2</f>
        <v>113.87190430034468</v>
      </c>
      <c r="Q2">
        <f>N2/(C2-B2)</f>
        <v>2.5381642149919692</v>
      </c>
    </row>
    <row r="3" spans="1:17" x14ac:dyDescent="0.3">
      <c r="A3">
        <v>3</v>
      </c>
      <c r="B3">
        <v>1.1801002107093901</v>
      </c>
      <c r="C3">
        <v>2.1302128404179199</v>
      </c>
      <c r="D3">
        <v>0.95011262970852395</v>
      </c>
      <c r="E3">
        <v>0.159684478125556</v>
      </c>
      <c r="F3">
        <v>0.158990966414366</v>
      </c>
      <c r="G3">
        <v>0.19484182574033601</v>
      </c>
      <c r="H3">
        <v>0.16837130072443099</v>
      </c>
      <c r="I3">
        <v>18.718720134903101</v>
      </c>
      <c r="J3">
        <v>151.11615904497299</v>
      </c>
      <c r="K3">
        <v>47.626136711062401</v>
      </c>
      <c r="L3">
        <v>49.208064459105401</v>
      </c>
      <c r="M3">
        <f t="shared" ref="M3:M66" si="0">J3/I3</f>
        <v>8.0729963350005107</v>
      </c>
      <c r="N3">
        <f t="shared" ref="N3:N66" si="1">LN(M3)</f>
        <v>2.088524706430428</v>
      </c>
      <c r="O3">
        <f t="shared" ref="O3:O66" si="2">L3/K3</f>
        <v>1.0332155378808114</v>
      </c>
      <c r="P3">
        <f t="shared" ref="P3:P66" si="3">L3-K3</f>
        <v>1.5819277480430003</v>
      </c>
      <c r="Q3">
        <f t="shared" ref="Q3:Q66" si="4">N3/(C3-B3)</f>
        <v>2.1981864477173971</v>
      </c>
    </row>
    <row r="4" spans="1:17" x14ac:dyDescent="0.3">
      <c r="A4">
        <v>3</v>
      </c>
      <c r="B4">
        <v>1.14616761679123</v>
      </c>
      <c r="C4">
        <v>1.9718607354665001</v>
      </c>
      <c r="D4">
        <v>0.82569311867526496</v>
      </c>
      <c r="E4">
        <v>0.159766830084866</v>
      </c>
      <c r="F4">
        <v>0.15858892432709601</v>
      </c>
      <c r="G4">
        <v>0.197807216282087</v>
      </c>
      <c r="H4">
        <v>0.23484505636613401</v>
      </c>
      <c r="I4">
        <v>15.790939959421101</v>
      </c>
      <c r="J4">
        <v>129.88642903417499</v>
      </c>
      <c r="K4">
        <v>39.941671042326298</v>
      </c>
      <c r="L4">
        <v>135.165223694628</v>
      </c>
      <c r="M4">
        <f t="shared" si="0"/>
        <v>8.2253766633241412</v>
      </c>
      <c r="N4">
        <f t="shared" si="1"/>
        <v>2.1072240905359059</v>
      </c>
      <c r="O4">
        <f t="shared" si="2"/>
        <v>3.3840653174323387</v>
      </c>
      <c r="P4">
        <f t="shared" si="3"/>
        <v>95.223552652301692</v>
      </c>
      <c r="Q4">
        <f t="shared" si="4"/>
        <v>2.5520669155105775</v>
      </c>
    </row>
    <row r="5" spans="1:17" x14ac:dyDescent="0.3">
      <c r="A5">
        <v>3</v>
      </c>
      <c r="B5">
        <v>1.10092415823368</v>
      </c>
      <c r="C5">
        <v>2.0434962115159498</v>
      </c>
      <c r="D5">
        <v>0.94257205328226601</v>
      </c>
      <c r="E5">
        <v>0.16009576593588301</v>
      </c>
      <c r="F5">
        <v>0.15935352052169099</v>
      </c>
      <c r="G5">
        <v>0.19418308064365</v>
      </c>
      <c r="H5">
        <v>0.17052570633012501</v>
      </c>
      <c r="I5">
        <v>14.877052243860501</v>
      </c>
      <c r="J5">
        <v>129.07651933986099</v>
      </c>
      <c r="K5">
        <v>37.348139677121701</v>
      </c>
      <c r="L5">
        <v>60.844854549141701</v>
      </c>
      <c r="M5">
        <f t="shared" si="0"/>
        <v>8.6762160422693029</v>
      </c>
      <c r="N5">
        <f t="shared" si="1"/>
        <v>2.1605854937921403</v>
      </c>
      <c r="O5">
        <f t="shared" si="2"/>
        <v>1.6291267804809393</v>
      </c>
      <c r="P5">
        <f t="shared" si="3"/>
        <v>23.49671487202</v>
      </c>
      <c r="Q5">
        <f t="shared" si="4"/>
        <v>2.2922231634902022</v>
      </c>
    </row>
    <row r="6" spans="1:17" x14ac:dyDescent="0.3">
      <c r="A6">
        <v>3</v>
      </c>
      <c r="B6">
        <v>1.05945098788926</v>
      </c>
      <c r="C6">
        <v>1.89645497120391</v>
      </c>
      <c r="D6">
        <v>0.83700398331465198</v>
      </c>
      <c r="E6">
        <v>0.15968645578368901</v>
      </c>
      <c r="F6">
        <v>0.15866114006850501</v>
      </c>
      <c r="G6">
        <v>0.19767024700118299</v>
      </c>
      <c r="H6">
        <v>0.22736414079633099</v>
      </c>
      <c r="I6">
        <v>12.537436967786499</v>
      </c>
      <c r="J6">
        <v>107.401969609579</v>
      </c>
      <c r="K6">
        <v>31.442929808404099</v>
      </c>
      <c r="L6">
        <v>111.589763858609</v>
      </c>
      <c r="M6">
        <f t="shared" si="0"/>
        <v>8.5665012622225731</v>
      </c>
      <c r="N6">
        <f t="shared" si="1"/>
        <v>2.1478593951349025</v>
      </c>
      <c r="O6">
        <f t="shared" si="2"/>
        <v>3.5489620254402365</v>
      </c>
      <c r="P6">
        <f t="shared" si="3"/>
        <v>80.146834050204902</v>
      </c>
      <c r="Q6">
        <f t="shared" si="4"/>
        <v>2.5661280447305472</v>
      </c>
    </row>
    <row r="7" spans="1:17" x14ac:dyDescent="0.3">
      <c r="A7">
        <v>3</v>
      </c>
      <c r="B7">
        <v>1.0255183939710999</v>
      </c>
      <c r="C7">
        <v>1.9530092944008499</v>
      </c>
      <c r="D7">
        <v>0.92749090042975002</v>
      </c>
      <c r="E7">
        <v>0.159557185808304</v>
      </c>
      <c r="F7">
        <v>0.15902047855590201</v>
      </c>
      <c r="G7">
        <v>0.19571434344098701</v>
      </c>
      <c r="H7">
        <v>0.17528377507322099</v>
      </c>
      <c r="I7">
        <v>12.0028818631476</v>
      </c>
      <c r="J7">
        <v>108.352626500501</v>
      </c>
      <c r="K7">
        <v>30.040677013336602</v>
      </c>
      <c r="L7">
        <v>63.490857554087803</v>
      </c>
      <c r="M7">
        <f t="shared" si="0"/>
        <v>9.0272176078959543</v>
      </c>
      <c r="N7">
        <f t="shared" si="1"/>
        <v>2.2002441923615628</v>
      </c>
      <c r="O7">
        <f t="shared" si="2"/>
        <v>2.113496227994494</v>
      </c>
      <c r="P7">
        <f t="shared" si="3"/>
        <v>33.450180540751205</v>
      </c>
      <c r="Q7">
        <f t="shared" si="4"/>
        <v>2.372254209008505</v>
      </c>
    </row>
    <row r="8" spans="1:17" x14ac:dyDescent="0.3">
      <c r="A8">
        <v>3</v>
      </c>
      <c r="B8">
        <v>0.97273435898729799</v>
      </c>
      <c r="C8">
        <v>1.82104920694133</v>
      </c>
      <c r="D8">
        <v>0.848314847954039</v>
      </c>
      <c r="E8">
        <v>0.15982660894157</v>
      </c>
      <c r="F8">
        <v>0.15906913226332201</v>
      </c>
      <c r="G8">
        <v>0.19708862119194401</v>
      </c>
      <c r="H8">
        <v>0.22101044599533901</v>
      </c>
      <c r="I8">
        <v>10.0472380714124</v>
      </c>
      <c r="J8">
        <v>89.610190751664206</v>
      </c>
      <c r="K8">
        <v>24.780139501209</v>
      </c>
      <c r="L8">
        <v>93.383006952723804</v>
      </c>
      <c r="M8">
        <f t="shared" si="0"/>
        <v>8.9188879684889528</v>
      </c>
      <c r="N8">
        <f t="shared" si="1"/>
        <v>2.1881712716105568</v>
      </c>
      <c r="O8">
        <f t="shared" si="2"/>
        <v>3.7684617129846156</v>
      </c>
      <c r="P8">
        <f t="shared" si="3"/>
        <v>68.602867451514811</v>
      </c>
      <c r="Q8">
        <f t="shared" si="4"/>
        <v>2.5794329509709679</v>
      </c>
    </row>
    <row r="9" spans="1:17" x14ac:dyDescent="0.3">
      <c r="A9">
        <v>3</v>
      </c>
      <c r="B9">
        <v>0.94634234149539498</v>
      </c>
      <c r="C9">
        <v>1.8662926654988801</v>
      </c>
      <c r="D9">
        <v>0.91995032400349097</v>
      </c>
      <c r="E9">
        <v>0.159531893765788</v>
      </c>
      <c r="F9">
        <v>0.15912299476201699</v>
      </c>
      <c r="G9">
        <v>0.19596943242705001</v>
      </c>
      <c r="H9">
        <v>0.17849472706995001</v>
      </c>
      <c r="I9">
        <v>9.7141509505723391</v>
      </c>
      <c r="J9">
        <v>90.870137172200799</v>
      </c>
      <c r="K9">
        <v>23.9477316381629</v>
      </c>
      <c r="L9">
        <v>61.807010248827702</v>
      </c>
      <c r="M9">
        <f t="shared" si="0"/>
        <v>9.3544085977835163</v>
      </c>
      <c r="N9">
        <f t="shared" si="1"/>
        <v>2.2358477399600631</v>
      </c>
      <c r="O9">
        <f t="shared" si="2"/>
        <v>2.580912930823585</v>
      </c>
      <c r="P9">
        <f t="shared" si="3"/>
        <v>37.859278610664802</v>
      </c>
      <c r="Q9">
        <f t="shared" si="4"/>
        <v>2.4304005136168558</v>
      </c>
    </row>
    <row r="10" spans="1:17" x14ac:dyDescent="0.3">
      <c r="A10">
        <v>3</v>
      </c>
      <c r="B10">
        <v>0.88978801829845899</v>
      </c>
      <c r="C10">
        <v>1.7418731544656201</v>
      </c>
      <c r="D10">
        <v>0.85208513616716797</v>
      </c>
      <c r="E10">
        <v>0.159428429255908</v>
      </c>
      <c r="F10">
        <v>0.158944999114947</v>
      </c>
      <c r="G10">
        <v>0.197875815869516</v>
      </c>
      <c r="H10">
        <v>0.21709115719920299</v>
      </c>
      <c r="I10">
        <v>8.24695562254451</v>
      </c>
      <c r="J10">
        <v>75.426341050894607</v>
      </c>
      <c r="K10">
        <v>20.028967353191899</v>
      </c>
      <c r="L10">
        <v>78.173622895436196</v>
      </c>
      <c r="M10">
        <f t="shared" si="0"/>
        <v>9.1459617952476151</v>
      </c>
      <c r="N10">
        <f t="shared" si="1"/>
        <v>2.2133124480182622</v>
      </c>
      <c r="O10">
        <f t="shared" si="2"/>
        <v>3.903028125060982</v>
      </c>
      <c r="P10">
        <f t="shared" si="3"/>
        <v>58.144655542244294</v>
      </c>
      <c r="Q10">
        <f t="shared" si="4"/>
        <v>2.5975250055107839</v>
      </c>
    </row>
    <row r="11" spans="1:17" x14ac:dyDescent="0.3">
      <c r="A11">
        <v>3</v>
      </c>
      <c r="B11">
        <v>0.86339600080655499</v>
      </c>
      <c r="C11">
        <v>1.77957603659691</v>
      </c>
      <c r="D11">
        <v>0.916180035790362</v>
      </c>
      <c r="E11">
        <v>0.16006482335182901</v>
      </c>
      <c r="F11">
        <v>0.159049159364306</v>
      </c>
      <c r="G11">
        <v>0.19484567853104801</v>
      </c>
      <c r="H11">
        <v>0.181636075471862</v>
      </c>
      <c r="I11">
        <v>7.9262706532377996</v>
      </c>
      <c r="J11">
        <v>76.649134275783297</v>
      </c>
      <c r="K11">
        <v>18.9709392776786</v>
      </c>
      <c r="L11">
        <v>57.088034896076699</v>
      </c>
      <c r="M11">
        <f t="shared" si="0"/>
        <v>9.67026457069983</v>
      </c>
      <c r="N11">
        <f t="shared" si="1"/>
        <v>2.2690556690392025</v>
      </c>
      <c r="O11">
        <f t="shared" si="2"/>
        <v>3.0092360773747804</v>
      </c>
      <c r="P11">
        <f t="shared" si="3"/>
        <v>38.117095618398096</v>
      </c>
      <c r="Q11">
        <f t="shared" si="4"/>
        <v>2.4766482354985735</v>
      </c>
    </row>
    <row r="12" spans="1:17" x14ac:dyDescent="0.3">
      <c r="A12">
        <v>3</v>
      </c>
      <c r="B12">
        <v>0.80307138939649003</v>
      </c>
      <c r="C12">
        <v>1.6626971019899099</v>
      </c>
      <c r="D12">
        <v>0.85962571259342602</v>
      </c>
      <c r="E12">
        <v>0.159852835683192</v>
      </c>
      <c r="F12">
        <v>0.159018459680483</v>
      </c>
      <c r="G12">
        <v>0.196718012420394</v>
      </c>
      <c r="H12">
        <v>0.21380831232472999</v>
      </c>
      <c r="I12">
        <v>6.8256122518416404</v>
      </c>
      <c r="J12">
        <v>64.376644337994094</v>
      </c>
      <c r="K12">
        <v>16.027909148422602</v>
      </c>
      <c r="L12">
        <v>66.441656050749003</v>
      </c>
      <c r="M12">
        <f t="shared" si="0"/>
        <v>9.4316292755458573</v>
      </c>
      <c r="N12">
        <f t="shared" si="1"/>
        <v>2.2440688574950372</v>
      </c>
      <c r="O12">
        <f t="shared" si="2"/>
        <v>4.1453726394055526</v>
      </c>
      <c r="P12">
        <f t="shared" si="3"/>
        <v>50.413746902326402</v>
      </c>
      <c r="Q12">
        <f t="shared" si="4"/>
        <v>2.6105185368698041</v>
      </c>
    </row>
    <row r="13" spans="1:17" x14ac:dyDescent="0.3">
      <c r="A13">
        <v>3</v>
      </c>
      <c r="B13">
        <v>0.78421994833084496</v>
      </c>
      <c r="C13">
        <v>1.6928594076949499</v>
      </c>
      <c r="D13">
        <v>0.90863945936410395</v>
      </c>
      <c r="E13">
        <v>0.15977568182458499</v>
      </c>
      <c r="F13">
        <v>0.15882486764086001</v>
      </c>
      <c r="G13">
        <v>0.19564819058963201</v>
      </c>
      <c r="H13">
        <v>0.18461539556495199</v>
      </c>
      <c r="I13">
        <v>6.6529524426975701</v>
      </c>
      <c r="J13">
        <v>65.306451271252598</v>
      </c>
      <c r="K13">
        <v>15.5544284674185</v>
      </c>
      <c r="L13">
        <v>51.403728689752398</v>
      </c>
      <c r="M13">
        <f t="shared" si="0"/>
        <v>9.8161608449395157</v>
      </c>
      <c r="N13">
        <f t="shared" si="1"/>
        <v>2.2840300932706445</v>
      </c>
      <c r="O13">
        <f t="shared" si="2"/>
        <v>3.3047648647088894</v>
      </c>
      <c r="P13">
        <f t="shared" si="3"/>
        <v>35.849300222333895</v>
      </c>
      <c r="Q13">
        <f t="shared" si="4"/>
        <v>2.5136813834489229</v>
      </c>
    </row>
    <row r="14" spans="1:17" x14ac:dyDescent="0.3">
      <c r="A14">
        <v>3</v>
      </c>
      <c r="B14">
        <v>0.72012504870765104</v>
      </c>
      <c r="C14">
        <v>1.5835210495142</v>
      </c>
      <c r="D14">
        <v>0.86339600080655499</v>
      </c>
      <c r="E14">
        <v>0.15965608885948501</v>
      </c>
      <c r="F14">
        <v>0.15922796800745201</v>
      </c>
      <c r="G14">
        <v>0.19709358073702299</v>
      </c>
      <c r="H14">
        <v>0.21096199810197</v>
      </c>
      <c r="I14">
        <v>5.8012271216189504</v>
      </c>
      <c r="J14">
        <v>55.687209071584803</v>
      </c>
      <c r="K14">
        <v>13.2323236715068</v>
      </c>
      <c r="L14">
        <v>57.289972008069803</v>
      </c>
      <c r="M14">
        <f t="shared" si="0"/>
        <v>9.5992120122413258</v>
      </c>
      <c r="N14">
        <f t="shared" si="1"/>
        <v>2.2616810130466787</v>
      </c>
      <c r="O14">
        <f t="shared" si="2"/>
        <v>4.329547359201352</v>
      </c>
      <c r="P14">
        <f t="shared" si="3"/>
        <v>44.057648336563005</v>
      </c>
      <c r="Q14">
        <f t="shared" si="4"/>
        <v>2.6195175920827865</v>
      </c>
    </row>
    <row r="15" spans="1:17" x14ac:dyDescent="0.3">
      <c r="A15">
        <v>3</v>
      </c>
      <c r="B15">
        <v>0.70127360764200597</v>
      </c>
      <c r="C15">
        <v>1.6099130670061099</v>
      </c>
      <c r="D15">
        <v>0.90863945936410395</v>
      </c>
      <c r="E15">
        <v>0.16011712072541101</v>
      </c>
      <c r="F15">
        <v>0.15914930604059299</v>
      </c>
      <c r="G15">
        <v>0.19492007163376299</v>
      </c>
      <c r="H15">
        <v>0.185655388903367</v>
      </c>
      <c r="I15">
        <v>5.6406007044526696</v>
      </c>
      <c r="J15">
        <v>56.461512744461402</v>
      </c>
      <c r="K15">
        <v>12.7019792843505</v>
      </c>
      <c r="L15">
        <v>46.544375517528501</v>
      </c>
      <c r="M15">
        <f t="shared" si="0"/>
        <v>10.009840388079747</v>
      </c>
      <c r="N15">
        <f t="shared" si="1"/>
        <v>2.3035686479532238</v>
      </c>
      <c r="O15">
        <f t="shared" si="2"/>
        <v>3.6643403736985776</v>
      </c>
      <c r="P15">
        <f t="shared" si="3"/>
        <v>33.842396233178</v>
      </c>
      <c r="Q15">
        <f t="shared" si="4"/>
        <v>2.5351844719195196</v>
      </c>
    </row>
    <row r="16" spans="1:17" x14ac:dyDescent="0.3">
      <c r="A16">
        <v>3</v>
      </c>
      <c r="B16">
        <v>0.63717870801881105</v>
      </c>
      <c r="C16">
        <v>1.50057470882536</v>
      </c>
      <c r="D16">
        <v>0.86339600080655499</v>
      </c>
      <c r="E16">
        <v>0.15951743417487901</v>
      </c>
      <c r="F16">
        <v>0.15877746962247799</v>
      </c>
      <c r="G16">
        <v>0.19735048472577299</v>
      </c>
      <c r="H16">
        <v>0.21006019623129099</v>
      </c>
      <c r="I16">
        <v>5.0106607934014704</v>
      </c>
      <c r="J16">
        <v>48.580299509971702</v>
      </c>
      <c r="K16">
        <v>11.061514965438001</v>
      </c>
      <c r="L16">
        <v>49.374102566571302</v>
      </c>
      <c r="M16">
        <f t="shared" si="0"/>
        <v>9.6953877967446935</v>
      </c>
      <c r="N16">
        <f t="shared" si="1"/>
        <v>2.2716502875588782</v>
      </c>
      <c r="O16">
        <f t="shared" si="2"/>
        <v>4.4635931624955543</v>
      </c>
      <c r="P16">
        <f t="shared" si="3"/>
        <v>38.312587601133302</v>
      </c>
      <c r="Q16">
        <f t="shared" si="4"/>
        <v>2.631064176156475</v>
      </c>
    </row>
    <row r="17" spans="1:17" x14ac:dyDescent="0.3">
      <c r="A17">
        <v>3</v>
      </c>
      <c r="B17">
        <v>0.62209755516629495</v>
      </c>
      <c r="C17">
        <v>1.5269667263172699</v>
      </c>
      <c r="D17">
        <v>0.90486917115097498</v>
      </c>
      <c r="E17">
        <v>0.15969341956490901</v>
      </c>
      <c r="F17">
        <v>0.15939729806324099</v>
      </c>
      <c r="G17">
        <v>0.19600241712146099</v>
      </c>
      <c r="H17">
        <v>0.18656089349959701</v>
      </c>
      <c r="I17">
        <v>4.9053646467868699</v>
      </c>
      <c r="J17">
        <v>49.384469156177602</v>
      </c>
      <c r="K17">
        <v>10.7383282787979</v>
      </c>
      <c r="L17">
        <v>42.041962645797497</v>
      </c>
      <c r="M17">
        <f t="shared" si="0"/>
        <v>10.067440998198901</v>
      </c>
      <c r="N17">
        <f t="shared" si="1"/>
        <v>2.30930655310538</v>
      </c>
      <c r="O17">
        <f t="shared" si="2"/>
        <v>3.9151310664255345</v>
      </c>
      <c r="P17">
        <f t="shared" si="3"/>
        <v>31.303634366999596</v>
      </c>
      <c r="Q17">
        <f t="shared" si="4"/>
        <v>2.5520888839300269</v>
      </c>
    </row>
    <row r="18" spans="1:17" x14ac:dyDescent="0.3">
      <c r="A18">
        <v>3</v>
      </c>
      <c r="B18">
        <v>0.55423236732997205</v>
      </c>
      <c r="C18">
        <v>1.4213986563496499</v>
      </c>
      <c r="D18">
        <v>0.86716628901968495</v>
      </c>
      <c r="E18">
        <v>0.15941981978976899</v>
      </c>
      <c r="F18">
        <v>0.15915117028501399</v>
      </c>
      <c r="G18">
        <v>0.19752341387022301</v>
      </c>
      <c r="H18">
        <v>0.20772645008945501</v>
      </c>
      <c r="I18">
        <v>4.3885504542322096</v>
      </c>
      <c r="J18">
        <v>43.040653776193999</v>
      </c>
      <c r="K18">
        <v>9.3480027914498596</v>
      </c>
      <c r="L18">
        <v>43.7174510638039</v>
      </c>
      <c r="M18">
        <f t="shared" si="0"/>
        <v>9.8074875121206944</v>
      </c>
      <c r="N18">
        <f t="shared" si="1"/>
        <v>2.2831461258018249</v>
      </c>
      <c r="O18">
        <f t="shared" si="2"/>
        <v>4.6766621747043144</v>
      </c>
      <c r="P18">
        <f t="shared" si="3"/>
        <v>34.369448272354042</v>
      </c>
      <c r="Q18">
        <f t="shared" si="4"/>
        <v>2.6328815530674019</v>
      </c>
    </row>
    <row r="19" spans="1:17" x14ac:dyDescent="0.3">
      <c r="A19">
        <v>3</v>
      </c>
      <c r="B19">
        <v>0.53915121447745595</v>
      </c>
      <c r="C19">
        <v>1.4402500974153001</v>
      </c>
      <c r="D19">
        <v>0.90109888293784601</v>
      </c>
      <c r="E19">
        <v>0.15993946576280099</v>
      </c>
      <c r="F19">
        <v>0.15891380497353</v>
      </c>
      <c r="G19">
        <v>0.1954703391001</v>
      </c>
      <c r="H19">
        <v>0.18911318102789301</v>
      </c>
      <c r="I19">
        <v>4.2922718240359998</v>
      </c>
      <c r="J19">
        <v>43.528876213153801</v>
      </c>
      <c r="K19">
        <v>9.0100714784726108</v>
      </c>
      <c r="L19">
        <v>37.513303539147401</v>
      </c>
      <c r="M19">
        <f t="shared" si="0"/>
        <v>10.14122077949477</v>
      </c>
      <c r="N19">
        <f t="shared" si="1"/>
        <v>2.3166083833715527</v>
      </c>
      <c r="O19">
        <f t="shared" si="2"/>
        <v>4.1634856758657666</v>
      </c>
      <c r="P19">
        <f t="shared" si="3"/>
        <v>28.50323206067479</v>
      </c>
      <c r="Q19">
        <f t="shared" si="4"/>
        <v>2.5708703309216592</v>
      </c>
    </row>
    <row r="20" spans="1:17" x14ac:dyDescent="0.3">
      <c r="A20">
        <v>3</v>
      </c>
      <c r="B20">
        <v>0.46751573842800398</v>
      </c>
      <c r="C20">
        <v>1.3384523156608099</v>
      </c>
      <c r="D20">
        <v>0.87093657723281404</v>
      </c>
      <c r="E20">
        <v>0.16005734316061901</v>
      </c>
      <c r="F20">
        <v>0.15882453124189999</v>
      </c>
      <c r="G20">
        <v>0.195934737324338</v>
      </c>
      <c r="H20">
        <v>0.20719855544558999</v>
      </c>
      <c r="I20">
        <v>3.8587795872090198</v>
      </c>
      <c r="J20">
        <v>38.392489664587401</v>
      </c>
      <c r="K20">
        <v>7.7851716247363596</v>
      </c>
      <c r="L20">
        <v>38.639031503605302</v>
      </c>
      <c r="M20">
        <f t="shared" si="0"/>
        <v>9.9493865345016879</v>
      </c>
      <c r="N20">
        <f t="shared" si="1"/>
        <v>2.2975108944458138</v>
      </c>
      <c r="O20">
        <f t="shared" si="2"/>
        <v>4.9631573157404594</v>
      </c>
      <c r="P20">
        <f t="shared" si="3"/>
        <v>30.853859878868942</v>
      </c>
      <c r="Q20">
        <f t="shared" si="4"/>
        <v>2.6379772701080126</v>
      </c>
    </row>
    <row r="21" spans="1:17" x14ac:dyDescent="0.3">
      <c r="A21">
        <v>3</v>
      </c>
      <c r="B21">
        <v>0.45997516200174499</v>
      </c>
      <c r="C21">
        <v>1.3573037567264601</v>
      </c>
      <c r="D21">
        <v>0.89732859472471704</v>
      </c>
      <c r="E21">
        <v>0.15944779696966899</v>
      </c>
      <c r="F21">
        <v>0.15906126755584499</v>
      </c>
      <c r="G21">
        <v>0.196695859268958</v>
      </c>
      <c r="H21">
        <v>0.18982161242267001</v>
      </c>
      <c r="I21">
        <v>3.8303952809225499</v>
      </c>
      <c r="J21">
        <v>38.899543678531202</v>
      </c>
      <c r="K21">
        <v>7.7642342477252804</v>
      </c>
      <c r="L21">
        <v>34.167695305448703</v>
      </c>
      <c r="M21">
        <f t="shared" si="0"/>
        <v>10.155490706735169</v>
      </c>
      <c r="N21">
        <f t="shared" si="1"/>
        <v>2.3180145155522558</v>
      </c>
      <c r="O21">
        <f t="shared" si="2"/>
        <v>4.4006523007029257</v>
      </c>
      <c r="P21">
        <f t="shared" si="3"/>
        <v>26.403461057723423</v>
      </c>
      <c r="Q21">
        <f t="shared" si="4"/>
        <v>2.5832393274655225</v>
      </c>
    </row>
    <row r="22" spans="1:17" x14ac:dyDescent="0.3">
      <c r="A22">
        <v>3</v>
      </c>
      <c r="B22">
        <v>0.38456939773916399</v>
      </c>
      <c r="C22">
        <v>1.2592762631851</v>
      </c>
      <c r="D22">
        <v>0.874706865445943</v>
      </c>
      <c r="E22">
        <v>0.160009556992045</v>
      </c>
      <c r="F22">
        <v>0.15927523081645201</v>
      </c>
      <c r="G22">
        <v>0.196005603932809</v>
      </c>
      <c r="H22">
        <v>0.205108809287359</v>
      </c>
      <c r="I22">
        <v>3.4531751745298802</v>
      </c>
      <c r="J22">
        <v>34.726801984704103</v>
      </c>
      <c r="K22">
        <v>6.5867757029035401</v>
      </c>
      <c r="L22">
        <v>35.020361070779302</v>
      </c>
      <c r="M22">
        <f t="shared" si="0"/>
        <v>10.056484316476025</v>
      </c>
      <c r="N22">
        <f t="shared" si="1"/>
        <v>2.3082176320689318</v>
      </c>
      <c r="O22">
        <f t="shared" si="2"/>
        <v>5.3167684236373578</v>
      </c>
      <c r="P22">
        <f t="shared" si="3"/>
        <v>28.433585367875761</v>
      </c>
      <c r="Q22">
        <f t="shared" si="4"/>
        <v>2.6388470506541353</v>
      </c>
    </row>
    <row r="23" spans="1:17" x14ac:dyDescent="0.3">
      <c r="A23">
        <v>3</v>
      </c>
      <c r="B23">
        <v>0.37702882131290599</v>
      </c>
      <c r="C23">
        <v>1.2743574160376201</v>
      </c>
      <c r="D23">
        <v>0.89732859472471704</v>
      </c>
      <c r="E23">
        <v>0.15964656055479301</v>
      </c>
      <c r="F23">
        <v>0.159179877033824</v>
      </c>
      <c r="G23">
        <v>0.19626044829913999</v>
      </c>
      <c r="H23">
        <v>0.19047060092871601</v>
      </c>
      <c r="I23">
        <v>3.4252489977449798</v>
      </c>
      <c r="J23">
        <v>35.106771102180701</v>
      </c>
      <c r="K23">
        <v>6.5277631752916596</v>
      </c>
      <c r="L23">
        <v>31.330232928247401</v>
      </c>
      <c r="M23">
        <f t="shared" si="0"/>
        <v>10.249407013999075</v>
      </c>
      <c r="N23">
        <f t="shared" si="1"/>
        <v>2.3272198516181355</v>
      </c>
      <c r="O23">
        <f t="shared" si="2"/>
        <v>4.7995357807764787</v>
      </c>
      <c r="P23">
        <f t="shared" si="3"/>
        <v>24.802469752955741</v>
      </c>
      <c r="Q23">
        <f t="shared" si="4"/>
        <v>2.5934979285175785</v>
      </c>
    </row>
    <row r="24" spans="1:17" x14ac:dyDescent="0.3">
      <c r="A24">
        <v>3</v>
      </c>
      <c r="B24">
        <v>0.30162305705032499</v>
      </c>
      <c r="C24">
        <v>1.17632992249626</v>
      </c>
      <c r="D24">
        <v>0.874706865445943</v>
      </c>
      <c r="E24">
        <v>0.15997562207205099</v>
      </c>
      <c r="F24">
        <v>0.159008642099012</v>
      </c>
      <c r="G24">
        <v>0.19604813484846201</v>
      </c>
      <c r="H24">
        <v>0.204758845915231</v>
      </c>
      <c r="I24">
        <v>3.1170179604594099</v>
      </c>
      <c r="J24">
        <v>31.583104250481501</v>
      </c>
      <c r="K24">
        <v>5.4538285063747001</v>
      </c>
      <c r="L24">
        <v>31.638932989607198</v>
      </c>
      <c r="M24">
        <f t="shared" si="0"/>
        <v>10.132474259412525</v>
      </c>
      <c r="N24">
        <f t="shared" si="1"/>
        <v>2.3157455391186321</v>
      </c>
      <c r="O24">
        <f t="shared" si="2"/>
        <v>5.8012335651233027</v>
      </c>
      <c r="P24">
        <f t="shared" si="3"/>
        <v>26.1851044832325</v>
      </c>
      <c r="Q24">
        <f t="shared" si="4"/>
        <v>2.647453256169471</v>
      </c>
    </row>
    <row r="25" spans="1:17" x14ac:dyDescent="0.3">
      <c r="A25">
        <v>3</v>
      </c>
      <c r="B25">
        <v>0.294082480624067</v>
      </c>
      <c r="C25">
        <v>1.1914110753487801</v>
      </c>
      <c r="D25">
        <v>0.89732859472471704</v>
      </c>
      <c r="E25">
        <v>0.159831429266279</v>
      </c>
      <c r="F25">
        <v>0.15927852443151599</v>
      </c>
      <c r="G25">
        <v>0.195854010279359</v>
      </c>
      <c r="H25">
        <v>0.191078170623805</v>
      </c>
      <c r="I25">
        <v>3.09081319291476</v>
      </c>
      <c r="J25">
        <v>31.9772105148615</v>
      </c>
      <c r="K25">
        <v>5.36187853114797</v>
      </c>
      <c r="L25">
        <v>28.9392445218452</v>
      </c>
      <c r="M25">
        <f t="shared" si="0"/>
        <v>10.345889097459725</v>
      </c>
      <c r="N25">
        <f t="shared" si="1"/>
        <v>2.3365892521598384</v>
      </c>
      <c r="O25">
        <f t="shared" si="2"/>
        <v>5.3972212077787134</v>
      </c>
      <c r="P25">
        <f t="shared" si="3"/>
        <v>23.577365990697231</v>
      </c>
      <c r="Q25">
        <f t="shared" si="4"/>
        <v>2.6039393661322792</v>
      </c>
    </row>
    <row r="26" spans="1:17" x14ac:dyDescent="0.3">
      <c r="A26">
        <v>3</v>
      </c>
      <c r="B26">
        <v>0.218676716361485</v>
      </c>
      <c r="C26">
        <v>1.09338358180742</v>
      </c>
      <c r="D26">
        <v>0.874706865445943</v>
      </c>
      <c r="E26">
        <v>0.15995075911750101</v>
      </c>
      <c r="F26">
        <v>0.158759109999591</v>
      </c>
      <c r="G26">
        <v>0.196072094566107</v>
      </c>
      <c r="H26">
        <v>0.20446193803506099</v>
      </c>
      <c r="I26">
        <v>2.8401830422135301</v>
      </c>
      <c r="J26">
        <v>28.9756171144031</v>
      </c>
      <c r="K26">
        <v>4.2750674230991503</v>
      </c>
      <c r="L26">
        <v>28.863625861335201</v>
      </c>
      <c r="M26">
        <f t="shared" si="0"/>
        <v>10.20202454691815</v>
      </c>
      <c r="N26">
        <f t="shared" si="1"/>
        <v>2.322586185586661</v>
      </c>
      <c r="O26">
        <f t="shared" si="2"/>
        <v>6.7516188646238753</v>
      </c>
      <c r="P26">
        <f t="shared" si="3"/>
        <v>24.588558438236049</v>
      </c>
      <c r="Q26">
        <f t="shared" si="4"/>
        <v>2.6552737578006562</v>
      </c>
    </row>
    <row r="27" spans="1:17" x14ac:dyDescent="0.3">
      <c r="A27">
        <v>3</v>
      </c>
      <c r="B27">
        <v>0.21113613993522701</v>
      </c>
      <c r="C27">
        <v>1.1084647346599401</v>
      </c>
      <c r="D27">
        <v>0.89732859472471704</v>
      </c>
      <c r="E27">
        <v>0.160007147628283</v>
      </c>
      <c r="F27">
        <v>0.15936414937471999</v>
      </c>
      <c r="G27">
        <v>0.19546669903631</v>
      </c>
      <c r="H27">
        <v>0.19165927446383099</v>
      </c>
      <c r="I27">
        <v>2.8172022750485701</v>
      </c>
      <c r="J27">
        <v>29.3778215982137</v>
      </c>
      <c r="K27">
        <v>4.1509889324769196</v>
      </c>
      <c r="L27">
        <v>26.930791007947899</v>
      </c>
      <c r="M27">
        <f t="shared" si="0"/>
        <v>10.428012875897316</v>
      </c>
      <c r="N27">
        <f t="shared" si="1"/>
        <v>2.3444957308132355</v>
      </c>
      <c r="O27">
        <f t="shared" si="2"/>
        <v>6.4878012073807527</v>
      </c>
      <c r="P27">
        <f t="shared" si="3"/>
        <v>22.779802075470979</v>
      </c>
      <c r="Q27">
        <f t="shared" si="4"/>
        <v>2.6127504958565275</v>
      </c>
    </row>
    <row r="28" spans="1:17" x14ac:dyDescent="0.3">
      <c r="A28">
        <v>3</v>
      </c>
      <c r="B28">
        <v>0.13573037567264601</v>
      </c>
      <c r="C28">
        <v>1.0142075293317101</v>
      </c>
      <c r="D28">
        <v>0.87847715365907197</v>
      </c>
      <c r="E28">
        <v>0.15993136815185199</v>
      </c>
      <c r="F28">
        <v>0.15925119162795001</v>
      </c>
      <c r="G28">
        <v>0.19608483829995799</v>
      </c>
      <c r="H28">
        <v>0.202508132357026</v>
      </c>
      <c r="I28">
        <v>2.6228818096563402</v>
      </c>
      <c r="J28">
        <v>26.903179648185102</v>
      </c>
      <c r="K28">
        <v>2.9309154755026898</v>
      </c>
      <c r="L28">
        <v>26.918341189976601</v>
      </c>
      <c r="M28">
        <f t="shared" si="0"/>
        <v>10.257107106061351</v>
      </c>
      <c r="N28">
        <f t="shared" si="1"/>
        <v>2.327970841511307</v>
      </c>
      <c r="O28">
        <f t="shared" si="2"/>
        <v>9.1842775456906551</v>
      </c>
      <c r="P28">
        <f t="shared" si="3"/>
        <v>23.987425714473911</v>
      </c>
      <c r="Q28">
        <f t="shared" si="4"/>
        <v>2.6500072674795931</v>
      </c>
    </row>
    <row r="29" spans="1:17" x14ac:dyDescent="0.3">
      <c r="A29">
        <v>3</v>
      </c>
      <c r="B29">
        <v>0.13196008745951701</v>
      </c>
      <c r="C29">
        <v>1.02174810575797</v>
      </c>
      <c r="D29">
        <v>0.88978801829845899</v>
      </c>
      <c r="E29">
        <v>0.15946895655965401</v>
      </c>
      <c r="F29">
        <v>0.15874882406827601</v>
      </c>
      <c r="G29">
        <v>0.19678939733970199</v>
      </c>
      <c r="H29">
        <v>0.19396493700710199</v>
      </c>
      <c r="I29">
        <v>2.61603559553794</v>
      </c>
      <c r="J29">
        <v>27.109368933434801</v>
      </c>
      <c r="K29">
        <v>2.8935531975652</v>
      </c>
      <c r="L29">
        <v>24.9136171683482</v>
      </c>
      <c r="M29">
        <f t="shared" si="0"/>
        <v>10.362767609001228</v>
      </c>
      <c r="N29">
        <f t="shared" si="1"/>
        <v>2.3382193448807929</v>
      </c>
      <c r="O29">
        <f t="shared" si="2"/>
        <v>8.6100429013407922</v>
      </c>
      <c r="P29">
        <f t="shared" si="3"/>
        <v>22.020063970782999</v>
      </c>
      <c r="Q29">
        <f t="shared" si="4"/>
        <v>2.6278386501002609</v>
      </c>
    </row>
    <row r="30" spans="1:17" x14ac:dyDescent="0.3">
      <c r="A30">
        <v>3</v>
      </c>
      <c r="B30">
        <v>5.2784034983806898E-2</v>
      </c>
      <c r="C30">
        <v>0.93126118864287899</v>
      </c>
      <c r="D30">
        <v>0.87847715365907197</v>
      </c>
      <c r="E30">
        <v>0.159914948418346</v>
      </c>
      <c r="F30">
        <v>0.159017016693206</v>
      </c>
      <c r="G30">
        <v>0.196091472175972</v>
      </c>
      <c r="H30">
        <v>0.20225722605312099</v>
      </c>
      <c r="I30">
        <v>2.4809398358127401</v>
      </c>
      <c r="J30">
        <v>25.071291166406201</v>
      </c>
      <c r="K30">
        <v>1.2841507042937601</v>
      </c>
      <c r="L30">
        <v>24.9882952835654</v>
      </c>
      <c r="M30">
        <f t="shared" si="0"/>
        <v>10.105561934432403</v>
      </c>
      <c r="N30">
        <f t="shared" si="1"/>
        <v>2.3130859588524695</v>
      </c>
      <c r="O30">
        <f t="shared" si="2"/>
        <v>19.459005239815777</v>
      </c>
      <c r="P30">
        <f t="shared" si="3"/>
        <v>23.704144579271638</v>
      </c>
      <c r="Q30">
        <f t="shared" si="4"/>
        <v>2.6330633064478697</v>
      </c>
    </row>
    <row r="31" spans="1:17" x14ac:dyDescent="0.3">
      <c r="A31">
        <v>3</v>
      </c>
      <c r="B31">
        <v>4.9013746770677803E-2</v>
      </c>
      <c r="C31">
        <v>0.93880176506913704</v>
      </c>
      <c r="D31">
        <v>0.88978801829845899</v>
      </c>
      <c r="E31">
        <v>0.15963706862287899</v>
      </c>
      <c r="F31">
        <v>0.15882057287478901</v>
      </c>
      <c r="G31">
        <v>0.196416834442288</v>
      </c>
      <c r="H31">
        <v>0.194521191027622</v>
      </c>
      <c r="I31">
        <v>2.4770260772699801</v>
      </c>
      <c r="J31">
        <v>25.293229612705499</v>
      </c>
      <c r="K31">
        <v>1.2075974493563</v>
      </c>
      <c r="L31">
        <v>23.5448819596612</v>
      </c>
      <c r="M31">
        <f t="shared" si="0"/>
        <v>10.211127708668323</v>
      </c>
      <c r="N31">
        <f t="shared" si="1"/>
        <v>2.3234780774649595</v>
      </c>
      <c r="O31">
        <f t="shared" si="2"/>
        <v>19.497293549445313</v>
      </c>
      <c r="P31">
        <f t="shared" si="3"/>
        <v>22.337284510304901</v>
      </c>
      <c r="Q31">
        <f t="shared" si="4"/>
        <v>2.6112714822887191</v>
      </c>
    </row>
    <row r="32" spans="1:17" x14ac:dyDescent="0.3">
      <c r="A32">
        <v>3</v>
      </c>
      <c r="B32">
        <v>11.5295413557486</v>
      </c>
      <c r="C32">
        <v>12.2345852516038</v>
      </c>
      <c r="D32">
        <v>0.70504389585513505</v>
      </c>
      <c r="E32">
        <v>0.16030190300766001</v>
      </c>
      <c r="F32">
        <v>0.159039876528109</v>
      </c>
      <c r="G32">
        <v>0.27432346223909898</v>
      </c>
      <c r="H32">
        <v>0.33426969271118201</v>
      </c>
      <c r="I32">
        <v>691.71675125485604</v>
      </c>
      <c r="J32">
        <v>621.70001028909599</v>
      </c>
      <c r="K32">
        <v>-471.57929120131399</v>
      </c>
      <c r="L32">
        <v>173.13843206114001</v>
      </c>
      <c r="M32">
        <f t="shared" si="0"/>
        <v>0.89877830652685309</v>
      </c>
      <c r="N32">
        <f t="shared" si="1"/>
        <v>-0.10671887500268123</v>
      </c>
      <c r="O32">
        <f t="shared" si="2"/>
        <v>-0.36714596101131247</v>
      </c>
      <c r="P32">
        <f t="shared" si="3"/>
        <v>644.717723262454</v>
      </c>
      <c r="Q32">
        <f t="shared" si="4"/>
        <v>-0.15136486625876541</v>
      </c>
    </row>
    <row r="33" spans="1:17" x14ac:dyDescent="0.3">
      <c r="A33">
        <v>3</v>
      </c>
      <c r="B33">
        <v>2.1075911111391399</v>
      </c>
      <c r="C33">
        <v>7.5933604612419296</v>
      </c>
      <c r="D33">
        <v>5.48576935010278</v>
      </c>
      <c r="E33">
        <v>0.15952744429310201</v>
      </c>
      <c r="F33">
        <v>0.15939618139467701</v>
      </c>
      <c r="G33">
        <v>0.33519649664068402</v>
      </c>
      <c r="H33">
        <v>0.32934294850280199</v>
      </c>
      <c r="I33">
        <v>222.93150947660499</v>
      </c>
      <c r="J33">
        <v>6690.1924527600804</v>
      </c>
      <c r="K33">
        <v>655.56194937303599</v>
      </c>
      <c r="L33">
        <v>3464.0642871679402</v>
      </c>
      <c r="M33">
        <f t="shared" si="0"/>
        <v>30.010080084538998</v>
      </c>
      <c r="N33">
        <f t="shared" si="1"/>
        <v>3.4015333280438167</v>
      </c>
      <c r="O33">
        <f t="shared" si="2"/>
        <v>5.2841143243302779</v>
      </c>
      <c r="P33">
        <f t="shared" si="3"/>
        <v>2808.5023377949042</v>
      </c>
      <c r="Q33">
        <f t="shared" si="4"/>
        <v>0.62006495551623586</v>
      </c>
    </row>
    <row r="34" spans="1:17" x14ac:dyDescent="0.3">
      <c r="A34">
        <v>3</v>
      </c>
      <c r="B34">
        <v>9.8517631009062399</v>
      </c>
      <c r="C34">
        <v>10.730240254565301</v>
      </c>
      <c r="D34">
        <v>0.87847715365907098</v>
      </c>
      <c r="E34">
        <v>0.15985518196773901</v>
      </c>
      <c r="F34">
        <v>0.159271207200776</v>
      </c>
      <c r="G34">
        <v>0.29908590439448102</v>
      </c>
      <c r="H34">
        <v>0.187286105794253</v>
      </c>
      <c r="I34">
        <v>1942.5037140596701</v>
      </c>
      <c r="J34">
        <v>1596.8817129817601</v>
      </c>
      <c r="K34">
        <v>-224.03544591244301</v>
      </c>
      <c r="L34">
        <v>-554.65274965599997</v>
      </c>
      <c r="M34">
        <f t="shared" si="0"/>
        <v>0.8220739561132735</v>
      </c>
      <c r="N34">
        <f t="shared" si="1"/>
        <v>-0.19592491703237747</v>
      </c>
      <c r="O34">
        <f t="shared" si="2"/>
        <v>2.4757365844365897</v>
      </c>
      <c r="P34">
        <f t="shared" si="3"/>
        <v>-330.61730374355693</v>
      </c>
      <c r="Q34">
        <f t="shared" si="4"/>
        <v>-0.22302790256559868</v>
      </c>
    </row>
    <row r="35" spans="1:17" x14ac:dyDescent="0.3">
      <c r="A35">
        <v>3</v>
      </c>
      <c r="B35">
        <v>2.16414543433608</v>
      </c>
      <c r="C35">
        <v>7.6649959372913798</v>
      </c>
      <c r="D35">
        <v>5.5008505029553003</v>
      </c>
      <c r="E35">
        <v>0.15943883553369301</v>
      </c>
      <c r="F35">
        <v>0.159135558946954</v>
      </c>
      <c r="G35">
        <v>0.31939921283697098</v>
      </c>
      <c r="H35">
        <v>0.33250454881303099</v>
      </c>
      <c r="I35">
        <v>310.16115269752902</v>
      </c>
      <c r="J35">
        <v>997819.58350027795</v>
      </c>
      <c r="K35">
        <v>819.50413572109903</v>
      </c>
      <c r="L35">
        <v>-676361.08463068795</v>
      </c>
      <c r="M35">
        <f t="shared" si="0"/>
        <v>3217.1004486604984</v>
      </c>
      <c r="N35">
        <f t="shared" si="1"/>
        <v>8.076235751078725</v>
      </c>
      <c r="O35">
        <f t="shared" si="2"/>
        <v>-825.32967821516058</v>
      </c>
      <c r="P35">
        <f t="shared" si="3"/>
        <v>-677180.58876640908</v>
      </c>
      <c r="Q35">
        <f t="shared" si="4"/>
        <v>1.4681794654735325</v>
      </c>
    </row>
    <row r="36" spans="1:17" x14ac:dyDescent="0.3">
      <c r="A36">
        <v>3</v>
      </c>
      <c r="B36">
        <v>36.858337571549697</v>
      </c>
      <c r="C36">
        <v>37.668949537372399</v>
      </c>
      <c r="D36">
        <v>0.81061196582274397</v>
      </c>
      <c r="E36">
        <v>0.15988679668122699</v>
      </c>
      <c r="F36">
        <v>0.159222229034649</v>
      </c>
      <c r="G36">
        <v>0.28853075413163698</v>
      </c>
      <c r="H36">
        <v>0.33516846119188798</v>
      </c>
      <c r="I36">
        <v>1084250.6933203901</v>
      </c>
      <c r="J36">
        <v>5900921.6237113802</v>
      </c>
      <c r="K36">
        <v>51502.997272563996</v>
      </c>
      <c r="L36">
        <v>11870138.390497999</v>
      </c>
      <c r="M36">
        <f t="shared" si="0"/>
        <v>5.4423959883673234</v>
      </c>
      <c r="N36">
        <f t="shared" si="1"/>
        <v>1.6942194029411595</v>
      </c>
      <c r="O36">
        <f t="shared" si="2"/>
        <v>230.47471058196655</v>
      </c>
      <c r="P36">
        <f t="shared" si="3"/>
        <v>11818635.393225435</v>
      </c>
      <c r="Q36">
        <f t="shared" si="4"/>
        <v>2.0900498319460068</v>
      </c>
    </row>
    <row r="37" spans="1:17" x14ac:dyDescent="0.3">
      <c r="A37">
        <v>3</v>
      </c>
      <c r="B37">
        <v>2.3752815742713098</v>
      </c>
      <c r="C37">
        <v>4.99563188239601</v>
      </c>
      <c r="D37">
        <v>2.6203503081247002</v>
      </c>
      <c r="E37">
        <v>0.15943043835026399</v>
      </c>
      <c r="F37">
        <v>0.15932976979414101</v>
      </c>
      <c r="G37">
        <v>0.245131653923988</v>
      </c>
      <c r="H37">
        <v>0.28528376538134198</v>
      </c>
      <c r="I37">
        <v>556.40112472421697</v>
      </c>
      <c r="J37">
        <v>31749.617228505402</v>
      </c>
      <c r="K37">
        <v>1017.48823570781</v>
      </c>
      <c r="L37">
        <v>-193422.24498841399</v>
      </c>
      <c r="M37">
        <f t="shared" si="0"/>
        <v>57.062460548120313</v>
      </c>
      <c r="N37">
        <f t="shared" si="1"/>
        <v>4.0441464669748006</v>
      </c>
      <c r="O37">
        <f t="shared" si="2"/>
        <v>-190.09777037260869</v>
      </c>
      <c r="P37">
        <f t="shared" si="3"/>
        <v>-194439.7332241218</v>
      </c>
      <c r="Q37">
        <f t="shared" si="4"/>
        <v>1.5433609981213028</v>
      </c>
    </row>
    <row r="38" spans="1:17" x14ac:dyDescent="0.3">
      <c r="A38">
        <v>3</v>
      </c>
      <c r="B38">
        <v>2.5034713735176899</v>
      </c>
      <c r="C38">
        <v>3.3630970861111198</v>
      </c>
      <c r="D38">
        <v>0.85962571259342602</v>
      </c>
      <c r="E38">
        <v>0.15973038595578501</v>
      </c>
      <c r="F38">
        <v>0.15902424404273699</v>
      </c>
      <c r="G38">
        <v>0.20624981090011699</v>
      </c>
      <c r="H38">
        <v>0.22579918918067901</v>
      </c>
      <c r="I38">
        <v>748.24007307493798</v>
      </c>
      <c r="J38">
        <v>3682.8596180028399</v>
      </c>
      <c r="K38">
        <v>1133.1033976906101</v>
      </c>
      <c r="L38">
        <v>9831.6288865487204</v>
      </c>
      <c r="M38">
        <f t="shared" si="0"/>
        <v>4.9220293733639586</v>
      </c>
      <c r="N38">
        <f t="shared" si="1"/>
        <v>1.5937209197210609</v>
      </c>
      <c r="O38">
        <f t="shared" si="2"/>
        <v>8.6767270370794627</v>
      </c>
      <c r="P38">
        <f t="shared" si="3"/>
        <v>8698.5254888581112</v>
      </c>
      <c r="Q38">
        <f t="shared" si="4"/>
        <v>1.8539707414206095</v>
      </c>
    </row>
    <row r="39" spans="1:17" x14ac:dyDescent="0.3">
      <c r="A39">
        <v>3</v>
      </c>
      <c r="B39">
        <v>15.8238996305026</v>
      </c>
      <c r="C39">
        <v>16.713687648801098</v>
      </c>
      <c r="D39">
        <v>0.88978801829845899</v>
      </c>
      <c r="E39">
        <v>0.16018594859689</v>
      </c>
      <c r="F39">
        <v>0.15871369273725899</v>
      </c>
      <c r="G39">
        <v>0.33065738650236998</v>
      </c>
      <c r="H39">
        <v>0.29395060006491402</v>
      </c>
      <c r="I39">
        <v>70560.903991117302</v>
      </c>
      <c r="J39">
        <v>11812.711274077201</v>
      </c>
      <c r="K39">
        <v>-232286.65721569699</v>
      </c>
      <c r="L39">
        <v>-8752.7798008878999</v>
      </c>
      <c r="M39">
        <f t="shared" si="0"/>
        <v>0.16741156371188592</v>
      </c>
      <c r="N39">
        <f t="shared" si="1"/>
        <v>-1.7873000449858816</v>
      </c>
      <c r="O39">
        <f t="shared" si="2"/>
        <v>3.7680940893476435E-2</v>
      </c>
      <c r="P39">
        <f t="shared" si="3"/>
        <v>223533.8774148091</v>
      </c>
      <c r="Q39">
        <f t="shared" si="4"/>
        <v>-2.0086807287017145</v>
      </c>
    </row>
    <row r="40" spans="1:17" x14ac:dyDescent="0.3">
      <c r="A40">
        <v>3</v>
      </c>
      <c r="B40">
        <v>2.5751068495671499</v>
      </c>
      <c r="C40">
        <v>3.3668673743242499</v>
      </c>
      <c r="D40">
        <v>0.79176052475710301</v>
      </c>
      <c r="E40">
        <v>0.15956093585035</v>
      </c>
      <c r="F40">
        <v>0.15858383933747899</v>
      </c>
      <c r="G40">
        <v>0.19355115185843799</v>
      </c>
      <c r="H40">
        <v>0.27386818558952403</v>
      </c>
      <c r="I40">
        <v>989.96255641130097</v>
      </c>
      <c r="J40">
        <v>10453.568516985601</v>
      </c>
      <c r="K40">
        <v>1840.8847594661399</v>
      </c>
      <c r="L40">
        <v>-103923.511281364</v>
      </c>
      <c r="M40">
        <f t="shared" si="0"/>
        <v>10.559559499786216</v>
      </c>
      <c r="N40">
        <f t="shared" si="1"/>
        <v>2.3570315633726646</v>
      </c>
      <c r="O40">
        <f t="shared" si="2"/>
        <v>-56.453023877226308</v>
      </c>
      <c r="P40">
        <f t="shared" si="3"/>
        <v>-105764.39604083014</v>
      </c>
      <c r="Q40">
        <f t="shared" si="4"/>
        <v>2.976950087396395</v>
      </c>
    </row>
    <row r="41" spans="1:17" x14ac:dyDescent="0.3">
      <c r="A41">
        <v>3</v>
      </c>
      <c r="B41">
        <v>24.043127935124001</v>
      </c>
      <c r="C41">
        <v>26.422179797608401</v>
      </c>
      <c r="D41">
        <v>2.3790518624844301</v>
      </c>
      <c r="E41">
        <v>0.15963854183326101</v>
      </c>
      <c r="F41">
        <v>0.15938793964888701</v>
      </c>
      <c r="G41">
        <v>0.33365449581916701</v>
      </c>
      <c r="H41">
        <v>0.24775369029279401</v>
      </c>
      <c r="I41">
        <v>2773306.4199319198</v>
      </c>
      <c r="J41">
        <v>3400443.2458502501</v>
      </c>
      <c r="K41">
        <v>250464.22319210501</v>
      </c>
      <c r="L41">
        <v>276936.834389464</v>
      </c>
      <c r="M41">
        <f t="shared" si="0"/>
        <v>1.2261332615145086</v>
      </c>
      <c r="N41">
        <f t="shared" si="1"/>
        <v>0.20386552778524702</v>
      </c>
      <c r="O41">
        <f t="shared" si="2"/>
        <v>1.1056941820271657</v>
      </c>
      <c r="P41">
        <f t="shared" si="3"/>
        <v>26472.611197358987</v>
      </c>
      <c r="Q41">
        <f t="shared" si="4"/>
        <v>8.569192248392353E-2</v>
      </c>
    </row>
    <row r="42" spans="1:17" x14ac:dyDescent="0.3">
      <c r="A42">
        <v>3</v>
      </c>
      <c r="B42">
        <v>2.5826474259933998</v>
      </c>
      <c r="C42">
        <v>3.3857188153898998</v>
      </c>
      <c r="D42">
        <v>0.80307138939649003</v>
      </c>
      <c r="E42">
        <v>0.16006367974678601</v>
      </c>
      <c r="F42">
        <v>0.15916279324795601</v>
      </c>
      <c r="G42">
        <v>0.18947913357441001</v>
      </c>
      <c r="H42">
        <v>0.30336545054368602</v>
      </c>
      <c r="I42">
        <v>1724.4852119258101</v>
      </c>
      <c r="J42">
        <v>1415.01693927464</v>
      </c>
      <c r="K42">
        <v>9379.6507753728893</v>
      </c>
      <c r="L42">
        <v>1663.3513790839099</v>
      </c>
      <c r="M42">
        <f t="shared" si="0"/>
        <v>0.82054454830286838</v>
      </c>
      <c r="N42">
        <f t="shared" si="1"/>
        <v>-0.19778707583339633</v>
      </c>
      <c r="O42">
        <f t="shared" si="2"/>
        <v>0.17733617369328797</v>
      </c>
      <c r="P42">
        <f t="shared" si="3"/>
        <v>-7716.2993962889796</v>
      </c>
      <c r="Q42">
        <f t="shared" si="4"/>
        <v>-0.2462882857550576</v>
      </c>
    </row>
    <row r="43" spans="1:17" x14ac:dyDescent="0.3">
      <c r="A43">
        <v>3</v>
      </c>
      <c r="B43">
        <v>2.5411742556489898</v>
      </c>
      <c r="C43">
        <v>3.3555565096848601</v>
      </c>
      <c r="D43">
        <v>0.81438225403587705</v>
      </c>
      <c r="E43">
        <v>0.159462189979235</v>
      </c>
      <c r="F43">
        <v>0.158941859283947</v>
      </c>
      <c r="G43">
        <v>0.190194783059045</v>
      </c>
      <c r="H43">
        <v>0.30940966129462399</v>
      </c>
      <c r="I43">
        <v>2615.8822253169401</v>
      </c>
      <c r="J43">
        <v>1030.0832304666001</v>
      </c>
      <c r="K43">
        <v>37584.778631940797</v>
      </c>
      <c r="L43">
        <v>2104.8837141522099</v>
      </c>
      <c r="M43">
        <f t="shared" si="0"/>
        <v>0.39378043112846767</v>
      </c>
      <c r="N43">
        <f t="shared" si="1"/>
        <v>-0.93196180642302517</v>
      </c>
      <c r="O43">
        <f t="shared" si="2"/>
        <v>5.6003621433156708E-2</v>
      </c>
      <c r="P43">
        <f t="shared" si="3"/>
        <v>-35479.894917788588</v>
      </c>
      <c r="Q43">
        <f t="shared" si="4"/>
        <v>-1.1443788243229278</v>
      </c>
    </row>
    <row r="44" spans="1:17" x14ac:dyDescent="0.3">
      <c r="A44">
        <v>3</v>
      </c>
      <c r="B44">
        <v>2.4657684913864002</v>
      </c>
      <c r="C44">
        <v>3.28769132184854</v>
      </c>
      <c r="D44">
        <v>0.82192283046213499</v>
      </c>
      <c r="E44">
        <v>0.15984400857225201</v>
      </c>
      <c r="F44">
        <v>0.15905515602945899</v>
      </c>
      <c r="G44">
        <v>0.189372528901882</v>
      </c>
      <c r="H44">
        <v>0.30984148773518799</v>
      </c>
      <c r="I44">
        <v>946.31003525134099</v>
      </c>
      <c r="J44">
        <v>668.51150875513304</v>
      </c>
      <c r="K44">
        <v>6808.8698426868104</v>
      </c>
      <c r="L44">
        <v>924.87567968975702</v>
      </c>
      <c r="M44">
        <f t="shared" si="0"/>
        <v>0.7064402614916534</v>
      </c>
      <c r="N44">
        <f t="shared" si="1"/>
        <v>-0.34751663599994803</v>
      </c>
      <c r="O44">
        <f t="shared" si="2"/>
        <v>0.13583394910730104</v>
      </c>
      <c r="P44">
        <f t="shared" si="3"/>
        <v>-5883.9941629970535</v>
      </c>
      <c r="Q44">
        <f t="shared" si="4"/>
        <v>-0.42280932360103812</v>
      </c>
    </row>
    <row r="45" spans="1:17" x14ac:dyDescent="0.3">
      <c r="A45">
        <v>3</v>
      </c>
      <c r="B45">
        <v>30.961606806215801</v>
      </c>
      <c r="C45">
        <v>31.772218772038599</v>
      </c>
      <c r="D45">
        <v>0.81061196582275097</v>
      </c>
      <c r="E45">
        <v>0.15964199314282501</v>
      </c>
      <c r="F45">
        <v>0.159127196775977</v>
      </c>
      <c r="G45">
        <v>0.201832223119744</v>
      </c>
      <c r="H45">
        <v>0.24855217386394801</v>
      </c>
      <c r="I45">
        <v>41566.544660693296</v>
      </c>
      <c r="J45">
        <v>152309.82001317499</v>
      </c>
      <c r="K45">
        <v>143829.712895795</v>
      </c>
      <c r="L45">
        <v>-423697.02618789498</v>
      </c>
      <c r="M45">
        <f t="shared" si="0"/>
        <v>3.6642405871471007</v>
      </c>
      <c r="N45">
        <f t="shared" si="1"/>
        <v>1.298621107087178</v>
      </c>
      <c r="O45">
        <f t="shared" si="2"/>
        <v>-2.9458240418992183</v>
      </c>
      <c r="P45">
        <f t="shared" si="3"/>
        <v>-567526.73908368999</v>
      </c>
      <c r="Q45">
        <f t="shared" si="4"/>
        <v>1.6020255829421854</v>
      </c>
    </row>
    <row r="46" spans="1:17" x14ac:dyDescent="0.3">
      <c r="A46">
        <v>3</v>
      </c>
      <c r="B46">
        <v>2.3865924389106898</v>
      </c>
      <c r="C46">
        <v>3.20851526937283</v>
      </c>
      <c r="D46">
        <v>0.82192283046213599</v>
      </c>
      <c r="E46">
        <v>0.15985479723354801</v>
      </c>
      <c r="F46">
        <v>0.15841104636655101</v>
      </c>
      <c r="G46">
        <v>0.189337918741175</v>
      </c>
      <c r="H46">
        <v>0.31003689782649302</v>
      </c>
      <c r="I46">
        <v>432.482376371513</v>
      </c>
      <c r="J46">
        <v>435.65339269596399</v>
      </c>
      <c r="K46">
        <v>1874.9201892077699</v>
      </c>
      <c r="L46">
        <v>122.50359018609301</v>
      </c>
      <c r="M46">
        <f t="shared" si="0"/>
        <v>1.0073321284234875</v>
      </c>
      <c r="N46">
        <f t="shared" si="1"/>
        <v>7.3053790435568273E-3</v>
      </c>
      <c r="O46">
        <f t="shared" si="2"/>
        <v>6.5338029261851283E-2</v>
      </c>
      <c r="P46">
        <f t="shared" si="3"/>
        <v>-1752.4165990216768</v>
      </c>
      <c r="Q46">
        <f t="shared" si="4"/>
        <v>8.8881568595062053E-3</v>
      </c>
    </row>
    <row r="47" spans="1:17" x14ac:dyDescent="0.3">
      <c r="A47">
        <v>3</v>
      </c>
      <c r="B47">
        <v>28.186674681352802</v>
      </c>
      <c r="C47">
        <v>29.0877735642907</v>
      </c>
      <c r="D47">
        <v>0.90109888293784401</v>
      </c>
      <c r="E47">
        <v>0.159777900298501</v>
      </c>
      <c r="F47">
        <v>0.158422040205137</v>
      </c>
      <c r="G47">
        <v>0.29107524323902001</v>
      </c>
      <c r="H47">
        <v>0.30973499834308998</v>
      </c>
      <c r="I47">
        <v>19761.169535678899</v>
      </c>
      <c r="J47">
        <v>25442.747172456598</v>
      </c>
      <c r="K47">
        <v>5616.1499648495001</v>
      </c>
      <c r="L47">
        <v>6972.3226287062098</v>
      </c>
      <c r="M47">
        <f t="shared" si="0"/>
        <v>1.2875122156368115</v>
      </c>
      <c r="N47">
        <f t="shared" si="1"/>
        <v>0.25271184138399622</v>
      </c>
      <c r="O47">
        <f t="shared" si="2"/>
        <v>1.2414772882392311</v>
      </c>
      <c r="P47">
        <f t="shared" si="3"/>
        <v>1356.1726638567097</v>
      </c>
      <c r="Q47">
        <f t="shared" si="4"/>
        <v>0.28044851255399084</v>
      </c>
    </row>
    <row r="48" spans="1:17" x14ac:dyDescent="0.3">
      <c r="A48">
        <v>3</v>
      </c>
      <c r="B48">
        <v>2.31118667464811</v>
      </c>
      <c r="C48">
        <v>3.1368797933233799</v>
      </c>
      <c r="D48">
        <v>0.82569311867526496</v>
      </c>
      <c r="E48">
        <v>0.159714756463534</v>
      </c>
      <c r="F48">
        <v>0.15858925130979901</v>
      </c>
      <c r="G48">
        <v>0.189612969774963</v>
      </c>
      <c r="H48">
        <v>0.30989392815837602</v>
      </c>
      <c r="I48">
        <v>267.33900474712101</v>
      </c>
      <c r="J48">
        <v>323.41619899504798</v>
      </c>
      <c r="K48">
        <v>918.95464646702499</v>
      </c>
      <c r="L48">
        <v>-172.771521075241</v>
      </c>
      <c r="M48">
        <f t="shared" si="0"/>
        <v>1.2097606157431873</v>
      </c>
      <c r="N48">
        <f t="shared" si="1"/>
        <v>0.19042250180731499</v>
      </c>
      <c r="O48">
        <f t="shared" si="2"/>
        <v>-0.18800875727596703</v>
      </c>
      <c r="P48">
        <f t="shared" si="3"/>
        <v>-1091.726167542266</v>
      </c>
      <c r="Q48">
        <f t="shared" si="4"/>
        <v>0.23062139855643476</v>
      </c>
    </row>
    <row r="49" spans="1:17" x14ac:dyDescent="0.3">
      <c r="A49">
        <v>3</v>
      </c>
      <c r="B49">
        <v>27.926524794646902</v>
      </c>
      <c r="C49">
        <v>28.748447625109101</v>
      </c>
      <c r="D49">
        <v>0.82192283046213499</v>
      </c>
      <c r="E49">
        <v>0.15942638686913799</v>
      </c>
      <c r="F49">
        <v>0.158879999484975</v>
      </c>
      <c r="G49">
        <v>0.27399354905921403</v>
      </c>
      <c r="H49">
        <v>0.30981174762799102</v>
      </c>
      <c r="I49">
        <v>7492.2403318044198</v>
      </c>
      <c r="J49">
        <v>40948.575168658601</v>
      </c>
      <c r="K49">
        <v>8317.1612208284496</v>
      </c>
      <c r="L49">
        <v>73569.438630827804</v>
      </c>
      <c r="M49">
        <f t="shared" si="0"/>
        <v>5.4654647148507323</v>
      </c>
      <c r="N49">
        <f t="shared" si="1"/>
        <v>1.6984491527526371</v>
      </c>
      <c r="O49">
        <f t="shared" si="2"/>
        <v>8.8454986836842568</v>
      </c>
      <c r="P49">
        <f t="shared" si="3"/>
        <v>65252.277409999355</v>
      </c>
      <c r="Q49">
        <f t="shared" si="4"/>
        <v>2.0664338424539599</v>
      </c>
    </row>
    <row r="50" spans="1:17" x14ac:dyDescent="0.3">
      <c r="A50">
        <v>3</v>
      </c>
      <c r="B50">
        <v>2.2395511985986598</v>
      </c>
      <c r="C50">
        <v>3.07278489370018</v>
      </c>
      <c r="D50">
        <v>0.83323369510152301</v>
      </c>
      <c r="E50">
        <v>0.15967208084730999</v>
      </c>
      <c r="F50">
        <v>0.15875927760613701</v>
      </c>
      <c r="G50">
        <v>0.189709979222277</v>
      </c>
      <c r="H50">
        <v>0.30909486460378899</v>
      </c>
      <c r="I50">
        <v>195.876192887722</v>
      </c>
      <c r="J50">
        <v>280.931982097554</v>
      </c>
      <c r="K50">
        <v>605.36540607956294</v>
      </c>
      <c r="L50">
        <v>-128.61091934758201</v>
      </c>
      <c r="M50">
        <f t="shared" si="0"/>
        <v>1.4342323993329131</v>
      </c>
      <c r="N50">
        <f t="shared" si="1"/>
        <v>0.36062979273754064</v>
      </c>
      <c r="O50">
        <f t="shared" si="2"/>
        <v>-0.21245171603129023</v>
      </c>
      <c r="P50">
        <f t="shared" si="3"/>
        <v>-733.97632542714496</v>
      </c>
      <c r="Q50">
        <f t="shared" si="4"/>
        <v>0.43280750029390247</v>
      </c>
    </row>
    <row r="51" spans="1:17" x14ac:dyDescent="0.3">
      <c r="A51">
        <v>3</v>
      </c>
      <c r="B51">
        <v>2.1716860107623401</v>
      </c>
      <c r="C51">
        <v>3.0162305705032502</v>
      </c>
      <c r="D51">
        <v>0.84454455974091003</v>
      </c>
      <c r="E51">
        <v>0.159536738089154</v>
      </c>
      <c r="F51">
        <v>0.15920830612207201</v>
      </c>
      <c r="G51">
        <v>0.190059256833878</v>
      </c>
      <c r="H51">
        <v>0.30675666892444198</v>
      </c>
      <c r="I51">
        <v>158.708706468401</v>
      </c>
      <c r="J51">
        <v>264.62868129846601</v>
      </c>
      <c r="K51">
        <v>467.86756883627601</v>
      </c>
      <c r="L51">
        <v>1.62960698472232</v>
      </c>
      <c r="M51">
        <f t="shared" si="0"/>
        <v>1.6673860381513079</v>
      </c>
      <c r="N51">
        <f t="shared" si="1"/>
        <v>0.51125715353441037</v>
      </c>
      <c r="O51">
        <f t="shared" si="2"/>
        <v>3.483051814802276E-3</v>
      </c>
      <c r="P51">
        <f t="shared" si="3"/>
        <v>-466.23796185155368</v>
      </c>
      <c r="Q51">
        <f t="shared" si="4"/>
        <v>0.60536433233464226</v>
      </c>
    </row>
    <row r="52" spans="1:17" x14ac:dyDescent="0.3">
      <c r="A52">
        <v>3</v>
      </c>
      <c r="B52">
        <v>2.1038208229260098</v>
      </c>
      <c r="C52">
        <v>2.9634465355194402</v>
      </c>
      <c r="D52">
        <v>0.85962571259342602</v>
      </c>
      <c r="E52">
        <v>0.15974257423980101</v>
      </c>
      <c r="F52">
        <v>0.15933966427134999</v>
      </c>
      <c r="G52">
        <v>0.18976091030668099</v>
      </c>
      <c r="H52">
        <v>0.30228288177939899</v>
      </c>
      <c r="I52">
        <v>135.19399779662999</v>
      </c>
      <c r="J52">
        <v>260.122687917907</v>
      </c>
      <c r="K52">
        <v>388.006774058556</v>
      </c>
      <c r="L52">
        <v>130.27798027634799</v>
      </c>
      <c r="M52">
        <f t="shared" si="0"/>
        <v>1.9240697971607075</v>
      </c>
      <c r="N52">
        <f t="shared" si="1"/>
        <v>0.65444262869607106</v>
      </c>
      <c r="O52">
        <f t="shared" si="2"/>
        <v>0.33576212836090097</v>
      </c>
      <c r="P52">
        <f t="shared" si="3"/>
        <v>-257.72879378220802</v>
      </c>
      <c r="Q52">
        <f t="shared" si="4"/>
        <v>0.76131113705482778</v>
      </c>
    </row>
    <row r="53" spans="1:17" x14ac:dyDescent="0.3">
      <c r="A53">
        <v>3</v>
      </c>
      <c r="B53">
        <v>2.0359556350896901</v>
      </c>
      <c r="C53">
        <v>2.9106625005356301</v>
      </c>
      <c r="D53">
        <v>0.874706865445943</v>
      </c>
      <c r="E53">
        <v>0.16006089104851301</v>
      </c>
      <c r="F53">
        <v>0.15862943548516201</v>
      </c>
      <c r="G53">
        <v>0.18928942175440699</v>
      </c>
      <c r="H53">
        <v>0.29546876063663602</v>
      </c>
      <c r="I53">
        <v>118.33197234884101</v>
      </c>
      <c r="J53">
        <v>261.27661455891803</v>
      </c>
      <c r="K53">
        <v>333.88704745137397</v>
      </c>
      <c r="L53">
        <v>236.10073767160199</v>
      </c>
      <c r="M53">
        <f t="shared" si="0"/>
        <v>2.2079967854222713</v>
      </c>
      <c r="N53">
        <f t="shared" si="1"/>
        <v>0.79208567253619455</v>
      </c>
      <c r="O53">
        <f t="shared" si="2"/>
        <v>0.7071275734527761</v>
      </c>
      <c r="P53">
        <f t="shared" si="3"/>
        <v>-97.786309779771983</v>
      </c>
      <c r="Q53">
        <f t="shared" si="4"/>
        <v>0.90554413578585113</v>
      </c>
    </row>
    <row r="54" spans="1:17" x14ac:dyDescent="0.3">
      <c r="A54">
        <v>3</v>
      </c>
      <c r="B54">
        <v>1.9718607354665001</v>
      </c>
      <c r="C54">
        <v>2.86164875376496</v>
      </c>
      <c r="D54">
        <v>0.88978801829845899</v>
      </c>
      <c r="E54">
        <v>0.159613382834081</v>
      </c>
      <c r="F54">
        <v>0.15871810807167</v>
      </c>
      <c r="G54">
        <v>0.190556963304997</v>
      </c>
      <c r="H54">
        <v>0.285825382565984</v>
      </c>
      <c r="I54">
        <v>106.10110600612801</v>
      </c>
      <c r="J54">
        <v>265.635337161633</v>
      </c>
      <c r="K54">
        <v>299.18311467608601</v>
      </c>
      <c r="L54">
        <v>321.22533749473001</v>
      </c>
      <c r="M54">
        <f t="shared" si="0"/>
        <v>2.5036057319354512</v>
      </c>
      <c r="N54">
        <f t="shared" si="1"/>
        <v>0.91773198554312163</v>
      </c>
      <c r="O54">
        <f t="shared" si="2"/>
        <v>1.0736746886351132</v>
      </c>
      <c r="P54">
        <f t="shared" si="3"/>
        <v>22.042222818644007</v>
      </c>
      <c r="Q54">
        <f t="shared" si="4"/>
        <v>1.0314051961478408</v>
      </c>
    </row>
    <row r="55" spans="1:17" x14ac:dyDescent="0.3">
      <c r="A55">
        <v>3</v>
      </c>
      <c r="B55">
        <v>2.2018483164673701</v>
      </c>
      <c r="C55">
        <v>2.7334589545185701</v>
      </c>
      <c r="D55">
        <v>0.53161063805119801</v>
      </c>
      <c r="E55">
        <v>0.16000209457418299</v>
      </c>
      <c r="F55">
        <v>0.15888613264779999</v>
      </c>
      <c r="G55">
        <v>0.212357023615593</v>
      </c>
      <c r="H55">
        <v>0.33500866060294898</v>
      </c>
      <c r="I55">
        <v>134.97882813775101</v>
      </c>
      <c r="J55">
        <v>452.96815538210501</v>
      </c>
      <c r="K55">
        <v>366.47892288178502</v>
      </c>
      <c r="L55">
        <v>463.89244493042401</v>
      </c>
      <c r="M55">
        <f t="shared" si="0"/>
        <v>3.3558459621521819</v>
      </c>
      <c r="N55">
        <f t="shared" si="1"/>
        <v>1.2107038883120407</v>
      </c>
      <c r="O55">
        <f t="shared" si="2"/>
        <v>1.2658093439116052</v>
      </c>
      <c r="P55">
        <f t="shared" si="3"/>
        <v>97.413522048638981</v>
      </c>
      <c r="Q55">
        <f t="shared" si="4"/>
        <v>2.2774259987540666</v>
      </c>
    </row>
    <row r="56" spans="1:17" x14ac:dyDescent="0.3">
      <c r="A56">
        <v>3</v>
      </c>
      <c r="B56">
        <v>1.90399554763017</v>
      </c>
      <c r="C56">
        <v>2.81263500699428</v>
      </c>
      <c r="D56">
        <v>0.90863945936410395</v>
      </c>
      <c r="E56">
        <v>0.15972379576606599</v>
      </c>
      <c r="F56">
        <v>0.15889403529023099</v>
      </c>
      <c r="G56">
        <v>0.19066118858661801</v>
      </c>
      <c r="H56">
        <v>0.273853073356435</v>
      </c>
      <c r="I56">
        <v>94.646354161546896</v>
      </c>
      <c r="J56">
        <v>269.94333603611</v>
      </c>
      <c r="K56">
        <v>264.51876901109802</v>
      </c>
      <c r="L56">
        <v>379.209494702538</v>
      </c>
      <c r="M56">
        <f t="shared" si="0"/>
        <v>2.8521260900906746</v>
      </c>
      <c r="N56">
        <f t="shared" si="1"/>
        <v>1.0480647126865044</v>
      </c>
      <c r="O56">
        <f t="shared" si="2"/>
        <v>1.4335825624783096</v>
      </c>
      <c r="P56">
        <f t="shared" si="3"/>
        <v>114.69072569143998</v>
      </c>
      <c r="Q56">
        <f t="shared" si="4"/>
        <v>1.1534439781208354</v>
      </c>
    </row>
    <row r="57" spans="1:17" x14ac:dyDescent="0.3">
      <c r="A57">
        <v>3</v>
      </c>
      <c r="B57">
        <v>2.0962802464997599</v>
      </c>
      <c r="C57">
        <v>2.6731343431085</v>
      </c>
      <c r="D57">
        <v>0.57685409660874698</v>
      </c>
      <c r="E57">
        <v>0.15968189930660201</v>
      </c>
      <c r="F57">
        <v>0.15935373170915701</v>
      </c>
      <c r="G57">
        <v>0.21002835381502799</v>
      </c>
      <c r="H57">
        <v>0.33258973730031499</v>
      </c>
      <c r="I57">
        <v>115.098411004151</v>
      </c>
      <c r="J57">
        <v>444.64607083863399</v>
      </c>
      <c r="K57">
        <v>313.58429689620999</v>
      </c>
      <c r="L57">
        <v>469.541120676731</v>
      </c>
      <c r="M57">
        <f t="shared" si="0"/>
        <v>3.8631816630604736</v>
      </c>
      <c r="N57">
        <f t="shared" si="1"/>
        <v>1.3514911089984403</v>
      </c>
      <c r="O57">
        <f t="shared" si="2"/>
        <v>1.4973362037708779</v>
      </c>
      <c r="P57">
        <f t="shared" si="3"/>
        <v>155.95682378052101</v>
      </c>
      <c r="Q57">
        <f t="shared" si="4"/>
        <v>2.3428647156078175</v>
      </c>
    </row>
    <row r="58" spans="1:17" x14ac:dyDescent="0.3">
      <c r="A58">
        <v>3</v>
      </c>
      <c r="B58">
        <v>1.8361303597938501</v>
      </c>
      <c r="C58">
        <v>2.75985097201047</v>
      </c>
      <c r="D58">
        <v>0.92372061221662005</v>
      </c>
      <c r="E58">
        <v>0.159626142053403</v>
      </c>
      <c r="F58">
        <v>0.158492003888694</v>
      </c>
      <c r="G58">
        <v>0.191264774432641</v>
      </c>
      <c r="H58">
        <v>0.26047248082194102</v>
      </c>
      <c r="I58">
        <v>84.469333402727699</v>
      </c>
      <c r="J58">
        <v>270.74941127994498</v>
      </c>
      <c r="K58">
        <v>234.51053304304301</v>
      </c>
      <c r="L58">
        <v>402.92630826087299</v>
      </c>
      <c r="M58">
        <f t="shared" si="0"/>
        <v>3.2052983061803335</v>
      </c>
      <c r="N58">
        <f t="shared" si="1"/>
        <v>1.1648051612926751</v>
      </c>
      <c r="O58">
        <f t="shared" si="2"/>
        <v>1.7181586815416869</v>
      </c>
      <c r="P58">
        <f t="shared" si="3"/>
        <v>168.41577521782997</v>
      </c>
      <c r="Q58">
        <f t="shared" si="4"/>
        <v>1.2609929299916054</v>
      </c>
    </row>
    <row r="59" spans="1:17" x14ac:dyDescent="0.3">
      <c r="A59">
        <v>3</v>
      </c>
      <c r="B59">
        <v>1.9907121765321401</v>
      </c>
      <c r="C59">
        <v>2.6052691552721798</v>
      </c>
      <c r="D59">
        <v>0.61455697874003701</v>
      </c>
      <c r="E59">
        <v>0.16000434652672499</v>
      </c>
      <c r="F59">
        <v>0.158583811683215</v>
      </c>
      <c r="G59">
        <v>0.20670392145195901</v>
      </c>
      <c r="H59">
        <v>0.32756906766812399</v>
      </c>
      <c r="I59">
        <v>97.195092400735305</v>
      </c>
      <c r="J59">
        <v>425.89481573882603</v>
      </c>
      <c r="K59">
        <v>262.55909807124698</v>
      </c>
      <c r="L59">
        <v>455.55203827960003</v>
      </c>
      <c r="M59">
        <f t="shared" si="0"/>
        <v>4.381855145348923</v>
      </c>
      <c r="N59">
        <f t="shared" si="1"/>
        <v>1.4774721838831466</v>
      </c>
      <c r="O59">
        <f t="shared" si="2"/>
        <v>1.7350457159019614</v>
      </c>
      <c r="P59">
        <f t="shared" si="3"/>
        <v>192.99294020835305</v>
      </c>
      <c r="Q59">
        <f t="shared" si="4"/>
        <v>2.4041256303235694</v>
      </c>
    </row>
    <row r="60" spans="1:17" x14ac:dyDescent="0.3">
      <c r="A60">
        <v>3</v>
      </c>
      <c r="B60">
        <v>1.7644948837443999</v>
      </c>
      <c r="C60">
        <v>2.70706693702666</v>
      </c>
      <c r="D60">
        <v>0.94257205328226601</v>
      </c>
      <c r="E60">
        <v>0.16002316210647799</v>
      </c>
      <c r="F60">
        <v>0.15870913352031399</v>
      </c>
      <c r="G60">
        <v>0.19077161106045901</v>
      </c>
      <c r="H60">
        <v>0.24561302201333199</v>
      </c>
      <c r="I60">
        <v>74.396962476118006</v>
      </c>
      <c r="J60">
        <v>268.50134198685299</v>
      </c>
      <c r="K60">
        <v>203.35206070467899</v>
      </c>
      <c r="L60">
        <v>399.16749521093999</v>
      </c>
      <c r="M60">
        <f t="shared" si="0"/>
        <v>3.6090363510881773</v>
      </c>
      <c r="N60">
        <f t="shared" si="1"/>
        <v>1.2834407979535605</v>
      </c>
      <c r="O60">
        <f t="shared" si="2"/>
        <v>1.9629380387280011</v>
      </c>
      <c r="P60">
        <f t="shared" si="3"/>
        <v>195.815434506261</v>
      </c>
      <c r="Q60">
        <f t="shared" si="4"/>
        <v>1.3616368037693398</v>
      </c>
    </row>
    <row r="61" spans="1:17" x14ac:dyDescent="0.3">
      <c r="A61">
        <v>3</v>
      </c>
      <c r="B61">
        <v>1.89268468299079</v>
      </c>
      <c r="C61">
        <v>2.5411742556489898</v>
      </c>
      <c r="D61">
        <v>0.64848957265819895</v>
      </c>
      <c r="E61">
        <v>0.15959313684089299</v>
      </c>
      <c r="F61">
        <v>0.15938583984188001</v>
      </c>
      <c r="G61">
        <v>0.20581622275488201</v>
      </c>
      <c r="H61">
        <v>0.32030428345627299</v>
      </c>
      <c r="I61">
        <v>82.845269077881895</v>
      </c>
      <c r="J61">
        <v>402.013027079658</v>
      </c>
      <c r="K61">
        <v>223.17607512636599</v>
      </c>
      <c r="L61">
        <v>438.11146873047699</v>
      </c>
      <c r="M61">
        <f t="shared" si="0"/>
        <v>4.8525767560937023</v>
      </c>
      <c r="N61">
        <f t="shared" si="1"/>
        <v>1.5795098537811005</v>
      </c>
      <c r="O61">
        <f t="shared" si="2"/>
        <v>1.9630754259049095</v>
      </c>
      <c r="P61">
        <f t="shared" si="3"/>
        <v>214.935393604111</v>
      </c>
      <c r="Q61">
        <f t="shared" si="4"/>
        <v>2.4356750214295499</v>
      </c>
    </row>
    <row r="62" spans="1:17" x14ac:dyDescent="0.3">
      <c r="A62">
        <v>3</v>
      </c>
      <c r="B62">
        <v>1.69662969590807</v>
      </c>
      <c r="C62">
        <v>2.6505126138297301</v>
      </c>
      <c r="D62">
        <v>0.95388291792165303</v>
      </c>
      <c r="E62">
        <v>0.159480605688021</v>
      </c>
      <c r="F62">
        <v>0.15876397746540599</v>
      </c>
      <c r="G62">
        <v>0.192418062400391</v>
      </c>
      <c r="H62">
        <v>0.230380756694091</v>
      </c>
      <c r="I62">
        <v>65.851936579994799</v>
      </c>
      <c r="J62">
        <v>261.53634239628201</v>
      </c>
      <c r="K62">
        <v>179.51075870634801</v>
      </c>
      <c r="L62">
        <v>362.08995573323102</v>
      </c>
      <c r="M62">
        <f t="shared" si="0"/>
        <v>3.9715816417726173</v>
      </c>
      <c r="N62">
        <f t="shared" si="1"/>
        <v>1.3791644137909056</v>
      </c>
      <c r="O62">
        <f t="shared" si="2"/>
        <v>2.0170933393778059</v>
      </c>
      <c r="P62">
        <f t="shared" si="3"/>
        <v>182.57919702688301</v>
      </c>
      <c r="Q62">
        <f t="shared" si="4"/>
        <v>1.4458424486684986</v>
      </c>
    </row>
    <row r="63" spans="1:17" x14ac:dyDescent="0.3">
      <c r="A63">
        <v>3</v>
      </c>
      <c r="B63">
        <v>1.7946571894494301</v>
      </c>
      <c r="C63">
        <v>2.4695387795995298</v>
      </c>
      <c r="D63">
        <v>0.67488159015010196</v>
      </c>
      <c r="E63">
        <v>0.15959995741984701</v>
      </c>
      <c r="F63">
        <v>0.158535159259521</v>
      </c>
      <c r="G63">
        <v>0.20421503399216401</v>
      </c>
      <c r="H63">
        <v>0.31204280655414501</v>
      </c>
      <c r="I63">
        <v>69.772852793846795</v>
      </c>
      <c r="J63">
        <v>369.32437852337699</v>
      </c>
      <c r="K63">
        <v>186.21709231411401</v>
      </c>
      <c r="L63">
        <v>400.72232535807501</v>
      </c>
      <c r="M63">
        <f t="shared" si="0"/>
        <v>5.293238899297914</v>
      </c>
      <c r="N63">
        <f t="shared" si="1"/>
        <v>1.6664303268087284</v>
      </c>
      <c r="O63">
        <f t="shared" si="2"/>
        <v>2.1519094750020589</v>
      </c>
      <c r="P63">
        <f t="shared" si="3"/>
        <v>214.505233043961</v>
      </c>
      <c r="Q63">
        <f t="shared" si="4"/>
        <v>2.4692188246505573</v>
      </c>
    </row>
    <row r="64" spans="1:17" x14ac:dyDescent="0.3">
      <c r="A64">
        <v>3</v>
      </c>
      <c r="B64">
        <v>1.62499421985862</v>
      </c>
      <c r="C64">
        <v>2.59018800241966</v>
      </c>
      <c r="D64">
        <v>0.96519378256104005</v>
      </c>
      <c r="E64">
        <v>0.159464484374997</v>
      </c>
      <c r="F64">
        <v>0.15879466929577701</v>
      </c>
      <c r="G64">
        <v>0.19287319978249901</v>
      </c>
      <c r="H64">
        <v>0.215309650245854</v>
      </c>
      <c r="I64">
        <v>57.264392792795299</v>
      </c>
      <c r="J64">
        <v>250.686576996036</v>
      </c>
      <c r="K64">
        <v>154.34739009351799</v>
      </c>
      <c r="L64">
        <v>296.57822393153202</v>
      </c>
      <c r="M64">
        <f t="shared" si="0"/>
        <v>4.3777042725855297</v>
      </c>
      <c r="N64">
        <f t="shared" si="1"/>
        <v>1.4765244483005582</v>
      </c>
      <c r="O64">
        <f t="shared" si="2"/>
        <v>1.9214981461742722</v>
      </c>
      <c r="P64">
        <f t="shared" si="3"/>
        <v>142.23083383801404</v>
      </c>
      <c r="Q64">
        <f t="shared" si="4"/>
        <v>1.5297699539493057</v>
      </c>
    </row>
    <row r="65" spans="1:17" x14ac:dyDescent="0.3">
      <c r="A65">
        <v>3</v>
      </c>
      <c r="B65">
        <v>1.69662969590807</v>
      </c>
      <c r="C65">
        <v>2.4016735917632102</v>
      </c>
      <c r="D65">
        <v>0.70504389585513505</v>
      </c>
      <c r="E65">
        <v>0.159943384368362</v>
      </c>
      <c r="F65">
        <v>0.15898909157254101</v>
      </c>
      <c r="G65">
        <v>0.20203894897610999</v>
      </c>
      <c r="H65">
        <v>0.302036058281485</v>
      </c>
      <c r="I65">
        <v>58.019861199869403</v>
      </c>
      <c r="J65">
        <v>334.75924270972001</v>
      </c>
      <c r="K65">
        <v>152.714246435544</v>
      </c>
      <c r="L65">
        <v>365.10447437246302</v>
      </c>
      <c r="M65">
        <f t="shared" si="0"/>
        <v>5.7697353248834302</v>
      </c>
      <c r="N65">
        <f t="shared" si="1"/>
        <v>1.7526262085638211</v>
      </c>
      <c r="O65">
        <f t="shared" si="2"/>
        <v>2.3907689223124473</v>
      </c>
      <c r="P65">
        <f t="shared" si="3"/>
        <v>212.39022793691902</v>
      </c>
      <c r="Q65">
        <f t="shared" si="4"/>
        <v>2.4858398446781527</v>
      </c>
    </row>
    <row r="66" spans="1:17" x14ac:dyDescent="0.3">
      <c r="A66">
        <v>3</v>
      </c>
      <c r="B66">
        <v>1.54958845559604</v>
      </c>
      <c r="C66">
        <v>2.5260931027964699</v>
      </c>
      <c r="D66">
        <v>0.97650464720042696</v>
      </c>
      <c r="E66">
        <v>0.16001141287367701</v>
      </c>
      <c r="F66">
        <v>0.15888610532382899</v>
      </c>
      <c r="G66">
        <v>0.192026756783929</v>
      </c>
      <c r="H66">
        <v>0.20087330779437901</v>
      </c>
      <c r="I66">
        <v>48.837737968715899</v>
      </c>
      <c r="J66">
        <v>237.34633963556701</v>
      </c>
      <c r="K66">
        <v>129.10839588361401</v>
      </c>
      <c r="L66">
        <v>214.439368471406</v>
      </c>
      <c r="M66">
        <f t="shared" si="0"/>
        <v>4.8598962504693501</v>
      </c>
      <c r="N66">
        <f t="shared" si="1"/>
        <v>1.5810170900444869</v>
      </c>
      <c r="O66">
        <f t="shared" si="2"/>
        <v>1.660925046770114</v>
      </c>
      <c r="P66">
        <f t="shared" si="3"/>
        <v>85.33097258779199</v>
      </c>
      <c r="Q66">
        <f t="shared" si="4"/>
        <v>1.6190574152177888</v>
      </c>
    </row>
    <row r="67" spans="1:17" x14ac:dyDescent="0.3">
      <c r="A67">
        <v>3</v>
      </c>
      <c r="B67">
        <v>1.60237249057985</v>
      </c>
      <c r="C67">
        <v>2.33003811571376</v>
      </c>
      <c r="D67">
        <v>0.72766562513390898</v>
      </c>
      <c r="E67">
        <v>0.15986800305139301</v>
      </c>
      <c r="F67">
        <v>0.15857740613016499</v>
      </c>
      <c r="G67">
        <v>0.201119660707792</v>
      </c>
      <c r="H67">
        <v>0.29156379996299298</v>
      </c>
      <c r="I67">
        <v>48.064476037987703</v>
      </c>
      <c r="J67">
        <v>297.11615554974702</v>
      </c>
      <c r="K67">
        <v>125.48837861023</v>
      </c>
      <c r="L67">
        <v>321.44002822668602</v>
      </c>
      <c r="M67">
        <f t="shared" ref="M67:M130" si="5">J67/I67</f>
        <v>6.1816164461029723</v>
      </c>
      <c r="N67">
        <f t="shared" ref="N67:N130" si="6">LN(M67)</f>
        <v>1.821579798126608</v>
      </c>
      <c r="O67">
        <f t="shared" ref="O67:O130" si="7">L67/K67</f>
        <v>2.5615123231856129</v>
      </c>
      <c r="P67">
        <f t="shared" ref="P67:P130" si="8">L67-K67</f>
        <v>195.95164961645602</v>
      </c>
      <c r="Q67">
        <f t="shared" ref="Q67:Q130" si="9">N67/(C67-B67)</f>
        <v>2.5033198425326035</v>
      </c>
    </row>
    <row r="68" spans="1:17" x14ac:dyDescent="0.3">
      <c r="A68">
        <v>3</v>
      </c>
      <c r="B68">
        <v>1.47795297954659</v>
      </c>
      <c r="C68">
        <v>2.4582279149601498</v>
      </c>
      <c r="D68">
        <v>0.98027493541355604</v>
      </c>
      <c r="E68">
        <v>0.15972137608979101</v>
      </c>
      <c r="F68">
        <v>0.15910417586464001</v>
      </c>
      <c r="G68">
        <v>0.19311438828958999</v>
      </c>
      <c r="H68">
        <v>0.18754506738909499</v>
      </c>
      <c r="I68">
        <v>41.593850813456903</v>
      </c>
      <c r="J68">
        <v>222.83192967135199</v>
      </c>
      <c r="K68">
        <v>109.232406130464</v>
      </c>
      <c r="L68">
        <v>134.01433346250801</v>
      </c>
      <c r="M68">
        <f t="shared" si="5"/>
        <v>5.3573286751141334</v>
      </c>
      <c r="N68">
        <f t="shared" si="6"/>
        <v>1.6784654693408105</v>
      </c>
      <c r="O68">
        <f t="shared" si="7"/>
        <v>1.2268733996616827</v>
      </c>
      <c r="P68">
        <f t="shared" si="8"/>
        <v>24.781927332044006</v>
      </c>
      <c r="Q68">
        <f t="shared" si="9"/>
        <v>1.7122395041475758</v>
      </c>
    </row>
    <row r="69" spans="1:17" x14ac:dyDescent="0.3">
      <c r="A69">
        <v>3</v>
      </c>
      <c r="B69">
        <v>1.50811528525162</v>
      </c>
      <c r="C69">
        <v>2.2621729278774301</v>
      </c>
      <c r="D69">
        <v>0.75405764262581298</v>
      </c>
      <c r="E69">
        <v>0.159977754566935</v>
      </c>
      <c r="F69">
        <v>0.15922482686636799</v>
      </c>
      <c r="G69">
        <v>0.199881952494779</v>
      </c>
      <c r="H69">
        <v>0.27926628116697699</v>
      </c>
      <c r="I69">
        <v>39.2340759020571</v>
      </c>
      <c r="J69">
        <v>260.46375998018999</v>
      </c>
      <c r="K69">
        <v>101.474113761572</v>
      </c>
      <c r="L69">
        <v>282.10632576456902</v>
      </c>
      <c r="M69">
        <f t="shared" si="5"/>
        <v>6.6387127513951079</v>
      </c>
      <c r="N69">
        <f t="shared" si="6"/>
        <v>1.8929180819528315</v>
      </c>
      <c r="O69">
        <f t="shared" si="7"/>
        <v>2.7800816908578119</v>
      </c>
      <c r="P69">
        <f t="shared" si="8"/>
        <v>180.63221200299702</v>
      </c>
      <c r="Q69">
        <f t="shared" si="9"/>
        <v>2.5103095240321887</v>
      </c>
    </row>
    <row r="70" spans="1:17" x14ac:dyDescent="0.3">
      <c r="A70">
        <v>3</v>
      </c>
      <c r="B70">
        <v>1.4025472152840099</v>
      </c>
      <c r="C70">
        <v>2.3828221506975602</v>
      </c>
      <c r="D70">
        <v>0.98027493541355604</v>
      </c>
      <c r="E70">
        <v>0.16006724033271599</v>
      </c>
      <c r="F70">
        <v>0.15892437616372701</v>
      </c>
      <c r="G70">
        <v>0.19273095851314501</v>
      </c>
      <c r="H70">
        <v>0.17729540350919501</v>
      </c>
      <c r="I70">
        <v>34.622974233816699</v>
      </c>
      <c r="J70">
        <v>207.40672364847299</v>
      </c>
      <c r="K70">
        <v>89.614143500953006</v>
      </c>
      <c r="L70">
        <v>67.512308207857203</v>
      </c>
      <c r="M70">
        <f t="shared" si="5"/>
        <v>5.9904363573102914</v>
      </c>
      <c r="N70">
        <f t="shared" si="6"/>
        <v>1.7901642571051986</v>
      </c>
      <c r="O70">
        <f t="shared" si="7"/>
        <v>0.75336666256414353</v>
      </c>
      <c r="P70">
        <f t="shared" si="8"/>
        <v>-22.101835293095803</v>
      </c>
      <c r="Q70">
        <f t="shared" si="9"/>
        <v>1.8261858917671692</v>
      </c>
    </row>
    <row r="71" spans="1:17" x14ac:dyDescent="0.3">
      <c r="A71">
        <v>3</v>
      </c>
      <c r="B71">
        <v>1.41762836813652</v>
      </c>
      <c r="C71">
        <v>2.1905374518279799</v>
      </c>
      <c r="D71">
        <v>0.77290908369145805</v>
      </c>
      <c r="E71">
        <v>0.15957096450761801</v>
      </c>
      <c r="F71">
        <v>0.158935294458004</v>
      </c>
      <c r="G71">
        <v>0.20004313527168799</v>
      </c>
      <c r="H71">
        <v>0.267204064674191</v>
      </c>
      <c r="I71">
        <v>31.8432835687798</v>
      </c>
      <c r="J71">
        <v>223.57302910183699</v>
      </c>
      <c r="K71">
        <v>82.225888623775802</v>
      </c>
      <c r="L71">
        <v>239.073614730418</v>
      </c>
      <c r="M71">
        <f t="shared" si="5"/>
        <v>7.0210419292637063</v>
      </c>
      <c r="N71">
        <f t="shared" si="6"/>
        <v>1.9489116299961582</v>
      </c>
      <c r="O71">
        <f t="shared" si="7"/>
        <v>2.9075224206368664</v>
      </c>
      <c r="P71">
        <f t="shared" si="8"/>
        <v>156.8477261066422</v>
      </c>
      <c r="Q71">
        <f t="shared" si="9"/>
        <v>2.5215276558635331</v>
      </c>
    </row>
    <row r="72" spans="1:17" x14ac:dyDescent="0.3">
      <c r="A72">
        <v>3</v>
      </c>
      <c r="B72">
        <v>1.33091173923456</v>
      </c>
      <c r="C72">
        <v>2.3036460982218498</v>
      </c>
      <c r="D72">
        <v>0.97273435898729799</v>
      </c>
      <c r="E72">
        <v>0.1596120512476</v>
      </c>
      <c r="F72">
        <v>0.15904211323659301</v>
      </c>
      <c r="G72">
        <v>0.19422205597728201</v>
      </c>
      <c r="H72">
        <v>0.169921881673466</v>
      </c>
      <c r="I72">
        <v>28.706927644504201</v>
      </c>
      <c r="J72">
        <v>191.12744086043901</v>
      </c>
      <c r="K72">
        <v>74.151330717326701</v>
      </c>
      <c r="L72">
        <v>37.793981765386398</v>
      </c>
      <c r="M72">
        <f t="shared" si="5"/>
        <v>6.6578856235431871</v>
      </c>
      <c r="N72">
        <f t="shared" si="6"/>
        <v>1.8958019602043128</v>
      </c>
      <c r="O72">
        <f t="shared" si="7"/>
        <v>0.50968716811652848</v>
      </c>
      <c r="P72">
        <f t="shared" si="8"/>
        <v>-36.357348951940303</v>
      </c>
      <c r="Q72">
        <f t="shared" si="9"/>
        <v>1.9489410882720593</v>
      </c>
    </row>
    <row r="73" spans="1:17" x14ac:dyDescent="0.3">
      <c r="A73">
        <v>3</v>
      </c>
      <c r="B73">
        <v>1.3233711628083</v>
      </c>
      <c r="C73">
        <v>2.1189019757785301</v>
      </c>
      <c r="D73">
        <v>0.79553081297023198</v>
      </c>
      <c r="E73">
        <v>0.160057503171809</v>
      </c>
      <c r="F73">
        <v>0.158793401072539</v>
      </c>
      <c r="G73">
        <v>0.198127189448633</v>
      </c>
      <c r="H73">
        <v>0.25511304561027498</v>
      </c>
      <c r="I73">
        <v>25.216235489736999</v>
      </c>
      <c r="J73">
        <v>188.811309807713</v>
      </c>
      <c r="K73">
        <v>64.324798781363398</v>
      </c>
      <c r="L73">
        <v>199.53217640181001</v>
      </c>
      <c r="M73">
        <f t="shared" si="5"/>
        <v>7.4876882350087168</v>
      </c>
      <c r="N73">
        <f t="shared" si="6"/>
        <v>2.0132601030265631</v>
      </c>
      <c r="O73">
        <f t="shared" si="7"/>
        <v>3.1019479296003607</v>
      </c>
      <c r="P73">
        <f t="shared" si="8"/>
        <v>135.20737762044661</v>
      </c>
      <c r="Q73">
        <f t="shared" si="9"/>
        <v>2.530712915455485</v>
      </c>
    </row>
    <row r="74" spans="1:17" x14ac:dyDescent="0.3">
      <c r="A74">
        <v>3</v>
      </c>
      <c r="B74">
        <v>1.2555059749719699</v>
      </c>
      <c r="C74">
        <v>2.2206997575330099</v>
      </c>
      <c r="D74">
        <v>0.96519378256104005</v>
      </c>
      <c r="E74">
        <v>0.15974665840548399</v>
      </c>
      <c r="F74">
        <v>0.15935267045393001</v>
      </c>
      <c r="G74">
        <v>0.194319420015058</v>
      </c>
      <c r="H74">
        <v>0.16628158548222199</v>
      </c>
      <c r="I74">
        <v>23.280030758805299</v>
      </c>
      <c r="J74">
        <v>172.53978565478101</v>
      </c>
      <c r="K74">
        <v>59.585807614094698</v>
      </c>
      <c r="L74">
        <v>38.666346872197501</v>
      </c>
      <c r="M74">
        <f t="shared" si="5"/>
        <v>7.411493027753866</v>
      </c>
      <c r="N74">
        <f t="shared" si="6"/>
        <v>2.0030319072378622</v>
      </c>
      <c r="O74">
        <f t="shared" si="7"/>
        <v>0.64891873451843907</v>
      </c>
      <c r="P74">
        <f t="shared" si="8"/>
        <v>-20.919460741897197</v>
      </c>
      <c r="Q74">
        <f t="shared" si="9"/>
        <v>2.0752639971664841</v>
      </c>
    </row>
    <row r="75" spans="1:17" hidden="1" x14ac:dyDescent="0.3">
      <c r="A75">
        <v>4</v>
      </c>
      <c r="B75">
        <v>1.44779067384156</v>
      </c>
      <c r="C75">
        <v>2.2206997575330099</v>
      </c>
      <c r="D75">
        <v>0.77290908369145805</v>
      </c>
      <c r="E75">
        <v>0.160104783568251</v>
      </c>
      <c r="F75">
        <v>0.15897566809205901</v>
      </c>
      <c r="G75">
        <v>0.253066225440989</v>
      </c>
      <c r="H75">
        <v>0.273508971296888</v>
      </c>
      <c r="I75">
        <v>19.807047859594402</v>
      </c>
      <c r="J75">
        <v>132.12608403873</v>
      </c>
      <c r="K75">
        <v>51.379581778969701</v>
      </c>
      <c r="L75">
        <v>80.979074062042798</v>
      </c>
      <c r="M75">
        <f t="shared" si="5"/>
        <v>6.6706601092362687</v>
      </c>
      <c r="N75">
        <f t="shared" si="6"/>
        <v>1.8977188219326209</v>
      </c>
      <c r="O75">
        <f t="shared" si="7"/>
        <v>1.5760944573353561</v>
      </c>
      <c r="P75">
        <f t="shared" si="8"/>
        <v>29.599492283073097</v>
      </c>
      <c r="Q75">
        <f t="shared" si="9"/>
        <v>2.4552937233820922</v>
      </c>
    </row>
    <row r="76" spans="1:17" hidden="1" x14ac:dyDescent="0.3">
      <c r="A76">
        <v>4</v>
      </c>
      <c r="B76">
        <v>1.4025472152840099</v>
      </c>
      <c r="C76">
        <v>2.21692946931989</v>
      </c>
      <c r="D76">
        <v>0.81438225403587705</v>
      </c>
      <c r="E76">
        <v>0.15954546020111299</v>
      </c>
      <c r="F76">
        <v>0.15858822811786299</v>
      </c>
      <c r="G76">
        <v>0.25263020564932398</v>
      </c>
      <c r="H76">
        <v>0.25031700321170403</v>
      </c>
      <c r="I76">
        <v>19.0326247803564</v>
      </c>
      <c r="J76">
        <v>116.149550756534</v>
      </c>
      <c r="K76">
        <v>49.555106079536003</v>
      </c>
      <c r="L76">
        <v>22.2223838774222</v>
      </c>
      <c r="M76">
        <f t="shared" si="5"/>
        <v>6.1026554191522822</v>
      </c>
      <c r="N76">
        <f t="shared" si="6"/>
        <v>1.8087239910724748</v>
      </c>
      <c r="O76">
        <f t="shared" si="7"/>
        <v>0.44843782276956984</v>
      </c>
      <c r="P76">
        <f t="shared" si="8"/>
        <v>-27.332722202113803</v>
      </c>
      <c r="Q76">
        <f t="shared" si="9"/>
        <v>2.2209766753989042</v>
      </c>
    </row>
    <row r="77" spans="1:17" hidden="1" x14ac:dyDescent="0.3">
      <c r="A77">
        <v>4</v>
      </c>
      <c r="B77">
        <v>1.35353346851333</v>
      </c>
      <c r="C77">
        <v>2.1302128404179199</v>
      </c>
      <c r="D77">
        <v>0.77667937190458702</v>
      </c>
      <c r="E77">
        <v>0.15954649997919201</v>
      </c>
      <c r="F77">
        <v>0.15881272724942899</v>
      </c>
      <c r="G77">
        <v>0.25396131624059298</v>
      </c>
      <c r="H77">
        <v>0.26882125287550501</v>
      </c>
      <c r="I77">
        <v>15.5085806931599</v>
      </c>
      <c r="J77">
        <v>108.162207874972</v>
      </c>
      <c r="K77">
        <v>39.777043452795397</v>
      </c>
      <c r="L77">
        <v>66.8876047157773</v>
      </c>
      <c r="M77">
        <f t="shared" si="5"/>
        <v>6.9743460097981256</v>
      </c>
      <c r="N77">
        <f t="shared" si="6"/>
        <v>1.9422385612753839</v>
      </c>
      <c r="O77">
        <f t="shared" si="7"/>
        <v>1.6815630049315962</v>
      </c>
      <c r="P77">
        <f t="shared" si="8"/>
        <v>27.110561262981903</v>
      </c>
      <c r="Q77">
        <f t="shared" si="9"/>
        <v>2.5006954369247434</v>
      </c>
    </row>
    <row r="78" spans="1:17" hidden="1" x14ac:dyDescent="0.3">
      <c r="A78">
        <v>4</v>
      </c>
      <c r="B78">
        <v>1.3158305863820401</v>
      </c>
      <c r="C78">
        <v>2.1302128404179199</v>
      </c>
      <c r="D78">
        <v>0.81438225403587805</v>
      </c>
      <c r="E78">
        <v>0.15962645037912701</v>
      </c>
      <c r="F78">
        <v>0.15912173787434</v>
      </c>
      <c r="G78">
        <v>0.25261326710548798</v>
      </c>
      <c r="H78">
        <v>0.24899660530965201</v>
      </c>
      <c r="I78">
        <v>14.910467158570601</v>
      </c>
      <c r="J78">
        <v>98.692277788478506</v>
      </c>
      <c r="K78">
        <v>37.980526164758601</v>
      </c>
      <c r="L78">
        <v>26.688224079119799</v>
      </c>
      <c r="M78">
        <f t="shared" si="5"/>
        <v>6.6189930026270005</v>
      </c>
      <c r="N78">
        <f t="shared" si="6"/>
        <v>1.8899432439715496</v>
      </c>
      <c r="O78">
        <f t="shared" si="7"/>
        <v>0.70268178917129609</v>
      </c>
      <c r="P78">
        <f t="shared" si="8"/>
        <v>-11.292302085638802</v>
      </c>
      <c r="Q78">
        <f t="shared" si="9"/>
        <v>2.3207077936748397</v>
      </c>
    </row>
    <row r="79" spans="1:17" hidden="1" x14ac:dyDescent="0.3">
      <c r="A79">
        <v>4</v>
      </c>
      <c r="B79">
        <v>1.2555059749719699</v>
      </c>
      <c r="C79">
        <v>2.0397259233028202</v>
      </c>
      <c r="D79">
        <v>0.78421994833084496</v>
      </c>
      <c r="E79">
        <v>0.16018645743992099</v>
      </c>
      <c r="F79">
        <v>0.158785029550221</v>
      </c>
      <c r="G79">
        <v>0.25257930789115102</v>
      </c>
      <c r="H79">
        <v>0.26527352793034098</v>
      </c>
      <c r="I79">
        <v>12.1083434445816</v>
      </c>
      <c r="J79">
        <v>89.419073232997206</v>
      </c>
      <c r="K79">
        <v>29.844732708792701</v>
      </c>
      <c r="L79">
        <v>55.907290915662699</v>
      </c>
      <c r="M79">
        <f t="shared" si="5"/>
        <v>7.3849138523578652</v>
      </c>
      <c r="N79">
        <f t="shared" si="6"/>
        <v>1.9994392506963283</v>
      </c>
      <c r="O79">
        <f t="shared" si="7"/>
        <v>1.873271624215002</v>
      </c>
      <c r="P79">
        <f t="shared" si="8"/>
        <v>26.062558206869998</v>
      </c>
      <c r="Q79">
        <f t="shared" si="9"/>
        <v>2.5495898885918109</v>
      </c>
    </row>
    <row r="80" spans="1:17" hidden="1" x14ac:dyDescent="0.3">
      <c r="A80">
        <v>4</v>
      </c>
      <c r="B80">
        <v>1.22911395748007</v>
      </c>
      <c r="C80">
        <v>2.0397259233028202</v>
      </c>
      <c r="D80">
        <v>0.81061196582274897</v>
      </c>
      <c r="E80">
        <v>0.159447816635051</v>
      </c>
      <c r="F80">
        <v>0.158974880132673</v>
      </c>
      <c r="G80">
        <v>0.25306918752261598</v>
      </c>
      <c r="H80">
        <v>0.24954231554378201</v>
      </c>
      <c r="I80">
        <v>11.808947432633101</v>
      </c>
      <c r="J80">
        <v>83.600333441618503</v>
      </c>
      <c r="K80">
        <v>29.242196982836798</v>
      </c>
      <c r="L80">
        <v>27.886129312665101</v>
      </c>
      <c r="M80">
        <f t="shared" si="5"/>
        <v>7.0794060112923809</v>
      </c>
      <c r="N80">
        <f t="shared" si="6"/>
        <v>1.9571900074759869</v>
      </c>
      <c r="O80">
        <f t="shared" si="7"/>
        <v>0.95362634103834198</v>
      </c>
      <c r="P80">
        <f t="shared" si="8"/>
        <v>-1.3560676701716972</v>
      </c>
      <c r="Q80">
        <f t="shared" si="9"/>
        <v>2.4144598032049647</v>
      </c>
    </row>
    <row r="81" spans="1:17" hidden="1" x14ac:dyDescent="0.3">
      <c r="A81">
        <v>4</v>
      </c>
      <c r="B81">
        <v>1.1612487696437499</v>
      </c>
      <c r="C81">
        <v>1.9492390061877201</v>
      </c>
      <c r="D81">
        <v>0.78799023654397404</v>
      </c>
      <c r="E81">
        <v>0.16018054925286801</v>
      </c>
      <c r="F81">
        <v>0.158853528082392</v>
      </c>
      <c r="G81">
        <v>0.25248993564142103</v>
      </c>
      <c r="H81">
        <v>0.262701078801719</v>
      </c>
      <c r="I81">
        <v>9.7118314362274507</v>
      </c>
      <c r="J81">
        <v>75.038602829951202</v>
      </c>
      <c r="K81">
        <v>22.903108870971199</v>
      </c>
      <c r="L81">
        <v>47.299731967943003</v>
      </c>
      <c r="M81">
        <f t="shared" si="5"/>
        <v>7.7265141310051257</v>
      </c>
      <c r="N81">
        <f t="shared" si="6"/>
        <v>2.0446578075911406</v>
      </c>
      <c r="O81">
        <f t="shared" si="7"/>
        <v>2.065210109003742</v>
      </c>
      <c r="P81">
        <f t="shared" si="8"/>
        <v>24.396623096971805</v>
      </c>
      <c r="Q81">
        <f t="shared" si="9"/>
        <v>2.5947755603657758</v>
      </c>
    </row>
    <row r="82" spans="1:17" hidden="1" x14ac:dyDescent="0.3">
      <c r="A82">
        <v>4</v>
      </c>
      <c r="B82">
        <v>1.1386270403649701</v>
      </c>
      <c r="C82">
        <v>1.9492390061877201</v>
      </c>
      <c r="D82">
        <v>0.81061196582274797</v>
      </c>
      <c r="E82">
        <v>0.159943662845725</v>
      </c>
      <c r="F82">
        <v>0.15897631536066401</v>
      </c>
      <c r="G82">
        <v>0.25219937470328402</v>
      </c>
      <c r="H82">
        <v>0.25001792842936599</v>
      </c>
      <c r="I82">
        <v>9.4691844194066999</v>
      </c>
      <c r="J82">
        <v>71.228340934849399</v>
      </c>
      <c r="K82">
        <v>22.242036940869902</v>
      </c>
      <c r="L82">
        <v>27.755189168908299</v>
      </c>
      <c r="M82">
        <f t="shared" si="5"/>
        <v>7.5221199397986034</v>
      </c>
      <c r="N82">
        <f t="shared" si="6"/>
        <v>2.0178480051215799</v>
      </c>
      <c r="O82">
        <f t="shared" si="7"/>
        <v>1.2478708331748132</v>
      </c>
      <c r="P82">
        <f t="shared" si="8"/>
        <v>5.5131522280383969</v>
      </c>
      <c r="Q82">
        <f t="shared" si="9"/>
        <v>2.4892896850757893</v>
      </c>
    </row>
    <row r="83" spans="1:17" hidden="1" x14ac:dyDescent="0.3">
      <c r="A83">
        <v>4</v>
      </c>
      <c r="B83">
        <v>1.07076185252865</v>
      </c>
      <c r="C83">
        <v>1.8587520890726199</v>
      </c>
      <c r="D83">
        <v>0.78799023654397404</v>
      </c>
      <c r="E83">
        <v>0.15945944767616799</v>
      </c>
      <c r="F83">
        <v>0.15897905304829199</v>
      </c>
      <c r="G83">
        <v>0.25381320426971798</v>
      </c>
      <c r="H83">
        <v>0.26081029793787402</v>
      </c>
      <c r="I83">
        <v>8.0367102452980106</v>
      </c>
      <c r="J83">
        <v>63.853200718465899</v>
      </c>
      <c r="K83">
        <v>18.1221154854147</v>
      </c>
      <c r="L83">
        <v>40.350564070089597</v>
      </c>
      <c r="M83">
        <f t="shared" si="5"/>
        <v>7.9451913493862873</v>
      </c>
      <c r="N83">
        <f t="shared" si="6"/>
        <v>2.0725668839511804</v>
      </c>
      <c r="O83">
        <f t="shared" si="7"/>
        <v>2.2265923701107146</v>
      </c>
      <c r="P83">
        <f t="shared" si="8"/>
        <v>22.228448584674897</v>
      </c>
      <c r="Q83">
        <f t="shared" si="9"/>
        <v>2.6301936087954703</v>
      </c>
    </row>
    <row r="84" spans="1:17" hidden="1" x14ac:dyDescent="0.3">
      <c r="A84">
        <v>4</v>
      </c>
      <c r="B84">
        <v>1.0481401232498799</v>
      </c>
      <c r="C84">
        <v>1.8587520890726199</v>
      </c>
      <c r="D84">
        <v>0.81061196582274897</v>
      </c>
      <c r="E84">
        <v>0.16024306128660901</v>
      </c>
      <c r="F84">
        <v>0.15906213243616599</v>
      </c>
      <c r="G84">
        <v>0.25168564369583801</v>
      </c>
      <c r="H84">
        <v>0.25034423582484699</v>
      </c>
      <c r="I84">
        <v>7.7946973990345496</v>
      </c>
      <c r="J84">
        <v>61.197615579625698</v>
      </c>
      <c r="K84">
        <v>17.2059004426096</v>
      </c>
      <c r="L84">
        <v>26.4275618716004</v>
      </c>
      <c r="M84">
        <f t="shared" si="5"/>
        <v>7.8511855491921505</v>
      </c>
      <c r="N84">
        <f t="shared" si="6"/>
        <v>2.0606645457659294</v>
      </c>
      <c r="O84">
        <f t="shared" si="7"/>
        <v>1.535959246059206</v>
      </c>
      <c r="P84">
        <f t="shared" si="8"/>
        <v>9.2216614289907994</v>
      </c>
      <c r="Q84">
        <f t="shared" si="9"/>
        <v>2.5421097055660091</v>
      </c>
    </row>
    <row r="85" spans="1:17" hidden="1" x14ac:dyDescent="0.3">
      <c r="A85">
        <v>4</v>
      </c>
      <c r="B85">
        <v>0.97650464720042696</v>
      </c>
      <c r="C85">
        <v>1.76826517195753</v>
      </c>
      <c r="D85">
        <v>0.79176052475710301</v>
      </c>
      <c r="E85">
        <v>0.159798215891131</v>
      </c>
      <c r="F85">
        <v>0.159136426759904</v>
      </c>
      <c r="G85">
        <v>0.25310573392709801</v>
      </c>
      <c r="H85">
        <v>0.25936328893884802</v>
      </c>
      <c r="I85">
        <v>6.7472036890515401</v>
      </c>
      <c r="J85">
        <v>54.916108095415801</v>
      </c>
      <c r="K85">
        <v>14.2055479724958</v>
      </c>
      <c r="L85">
        <v>34.608887830112799</v>
      </c>
      <c r="M85">
        <f t="shared" si="5"/>
        <v>8.1390914853402627</v>
      </c>
      <c r="N85">
        <f t="shared" si="6"/>
        <v>2.0966785626479028</v>
      </c>
      <c r="O85">
        <f t="shared" si="7"/>
        <v>2.436293756293042</v>
      </c>
      <c r="P85">
        <f t="shared" si="8"/>
        <v>20.403339857616999</v>
      </c>
      <c r="Q85">
        <f t="shared" si="9"/>
        <v>2.6481221241626356</v>
      </c>
    </row>
    <row r="86" spans="1:17" hidden="1" x14ac:dyDescent="0.3">
      <c r="A86">
        <v>4</v>
      </c>
      <c r="B86">
        <v>0.96142349434791097</v>
      </c>
      <c r="C86">
        <v>1.76826517195753</v>
      </c>
      <c r="D86">
        <v>0.80684167760962</v>
      </c>
      <c r="E86">
        <v>0.159480836568475</v>
      </c>
      <c r="F86">
        <v>0.159194282316688</v>
      </c>
      <c r="G86">
        <v>0.253197231389925</v>
      </c>
      <c r="H86">
        <v>0.25052514441449802</v>
      </c>
      <c r="I86">
        <v>6.6326968867229903</v>
      </c>
      <c r="J86">
        <v>52.981515865095801</v>
      </c>
      <c r="K86">
        <v>13.935045518643999</v>
      </c>
      <c r="L86">
        <v>24.4344547661183</v>
      </c>
      <c r="M86">
        <f t="shared" si="5"/>
        <v>7.9879296114302498</v>
      </c>
      <c r="N86">
        <f t="shared" si="6"/>
        <v>2.0779316037258426</v>
      </c>
      <c r="O86">
        <f t="shared" si="7"/>
        <v>1.7534535307708119</v>
      </c>
      <c r="P86">
        <f t="shared" si="8"/>
        <v>10.499409247474301</v>
      </c>
      <c r="Q86">
        <f t="shared" si="9"/>
        <v>2.5753895236076607</v>
      </c>
    </row>
    <row r="87" spans="1:17" hidden="1" x14ac:dyDescent="0.3">
      <c r="A87">
        <v>4</v>
      </c>
      <c r="B87">
        <v>0.88224744187220105</v>
      </c>
      <c r="C87">
        <v>1.67777825484243</v>
      </c>
      <c r="D87">
        <v>0.79553081297023198</v>
      </c>
      <c r="E87">
        <v>0.16023156981473299</v>
      </c>
      <c r="F87">
        <v>0.159311601838551</v>
      </c>
      <c r="G87">
        <v>0.25223102699921102</v>
      </c>
      <c r="H87">
        <v>0.25820230686120699</v>
      </c>
      <c r="I87">
        <v>5.7862576586141099</v>
      </c>
      <c r="J87">
        <v>47.624601003274499</v>
      </c>
      <c r="K87">
        <v>11.3880054472521</v>
      </c>
      <c r="L87">
        <v>29.830414369499699</v>
      </c>
      <c r="M87">
        <f t="shared" si="5"/>
        <v>8.2306395278431594</v>
      </c>
      <c r="N87">
        <f t="shared" si="6"/>
        <v>2.1078637185767768</v>
      </c>
      <c r="O87">
        <f t="shared" si="7"/>
        <v>2.6194590885709235</v>
      </c>
      <c r="P87">
        <f t="shared" si="8"/>
        <v>18.442408922247601</v>
      </c>
      <c r="Q87">
        <f t="shared" si="9"/>
        <v>2.6496317731638372</v>
      </c>
    </row>
    <row r="88" spans="1:17" hidden="1" x14ac:dyDescent="0.3">
      <c r="A88">
        <v>4</v>
      </c>
      <c r="B88">
        <v>0.87093657723281404</v>
      </c>
      <c r="C88">
        <v>1.67777825484243</v>
      </c>
      <c r="D88">
        <v>0.806841677609619</v>
      </c>
      <c r="E88">
        <v>0.15955299771642401</v>
      </c>
      <c r="F88">
        <v>0.15935231902031799</v>
      </c>
      <c r="G88">
        <v>0.25309259002265599</v>
      </c>
      <c r="H88">
        <v>0.25058920826736603</v>
      </c>
      <c r="I88">
        <v>5.7219039439306201</v>
      </c>
      <c r="J88">
        <v>46.177161739183603</v>
      </c>
      <c r="K88">
        <v>11.322255070703299</v>
      </c>
      <c r="L88">
        <v>22.215731160774599</v>
      </c>
      <c r="M88">
        <f t="shared" si="5"/>
        <v>8.070244134063973</v>
      </c>
      <c r="N88">
        <f t="shared" si="6"/>
        <v>2.0881837338768103</v>
      </c>
      <c r="O88">
        <f t="shared" si="7"/>
        <v>1.9621295423964189</v>
      </c>
      <c r="P88">
        <f t="shared" si="8"/>
        <v>10.893476090071299</v>
      </c>
      <c r="Q88">
        <f t="shared" si="9"/>
        <v>2.588096019114126</v>
      </c>
    </row>
    <row r="89" spans="1:17" hidden="1" x14ac:dyDescent="0.3">
      <c r="A89">
        <v>4</v>
      </c>
      <c r="B89">
        <v>0.79176052475710301</v>
      </c>
      <c r="C89">
        <v>1.5835210495142</v>
      </c>
      <c r="D89">
        <v>0.79176052475710301</v>
      </c>
      <c r="E89">
        <v>0.15980958805683301</v>
      </c>
      <c r="F89">
        <v>0.15855564184679899</v>
      </c>
      <c r="G89">
        <v>0.25301598671547898</v>
      </c>
      <c r="H89">
        <v>0.25901476078004398</v>
      </c>
      <c r="I89">
        <v>5.0873422938105497</v>
      </c>
      <c r="J89">
        <v>41.518106862879698</v>
      </c>
      <c r="K89">
        <v>9.5975833881597001</v>
      </c>
      <c r="L89">
        <v>25.0252571610838</v>
      </c>
      <c r="M89">
        <f t="shared" si="5"/>
        <v>8.1610602285189611</v>
      </c>
      <c r="N89">
        <f t="shared" si="6"/>
        <v>2.0993740905014078</v>
      </c>
      <c r="O89">
        <f t="shared" si="7"/>
        <v>2.6074539963838022</v>
      </c>
      <c r="P89">
        <f t="shared" si="8"/>
        <v>15.4276737729241</v>
      </c>
      <c r="Q89">
        <f t="shared" si="9"/>
        <v>2.6515265978251081</v>
      </c>
    </row>
    <row r="90" spans="1:17" hidden="1" x14ac:dyDescent="0.3">
      <c r="A90">
        <v>4</v>
      </c>
      <c r="B90">
        <v>0.78044966011771599</v>
      </c>
      <c r="C90">
        <v>1.5835210495142</v>
      </c>
      <c r="D90">
        <v>0.80307138939649003</v>
      </c>
      <c r="E90">
        <v>0.15956259632328099</v>
      </c>
      <c r="F90">
        <v>0.15860965184294501</v>
      </c>
      <c r="G90">
        <v>0.25310095164820401</v>
      </c>
      <c r="H90">
        <v>0.25235683401135001</v>
      </c>
      <c r="I90">
        <v>5.0260835882603603</v>
      </c>
      <c r="J90">
        <v>40.441012772791602</v>
      </c>
      <c r="K90">
        <v>9.4795721851611692</v>
      </c>
      <c r="L90">
        <v>19.188275884541401</v>
      </c>
      <c r="M90">
        <f t="shared" si="5"/>
        <v>8.046227656708977</v>
      </c>
      <c r="N90">
        <f t="shared" si="6"/>
        <v>2.0852033675231638</v>
      </c>
      <c r="O90">
        <f t="shared" si="7"/>
        <v>2.0241710817475216</v>
      </c>
      <c r="P90">
        <f t="shared" si="8"/>
        <v>9.7087036993802318</v>
      </c>
      <c r="Q90">
        <f t="shared" si="9"/>
        <v>2.5965354949205879</v>
      </c>
    </row>
    <row r="91" spans="1:17" hidden="1" x14ac:dyDescent="0.3">
      <c r="A91">
        <v>4</v>
      </c>
      <c r="B91">
        <v>0.70127360764200597</v>
      </c>
      <c r="C91">
        <v>1.4930341323991001</v>
      </c>
      <c r="D91">
        <v>0.79176052475710301</v>
      </c>
      <c r="E91">
        <v>0.15943014296366001</v>
      </c>
      <c r="F91">
        <v>0.158749709770313</v>
      </c>
      <c r="G91">
        <v>0.25372628928526603</v>
      </c>
      <c r="H91">
        <v>0.25816307423132701</v>
      </c>
      <c r="I91">
        <v>4.5341634517096301</v>
      </c>
      <c r="J91">
        <v>36.585163925615099</v>
      </c>
      <c r="K91">
        <v>8.3038873948801193</v>
      </c>
      <c r="L91">
        <v>21.881159403749201</v>
      </c>
      <c r="M91">
        <f t="shared" si="5"/>
        <v>8.0687792390502526</v>
      </c>
      <c r="N91">
        <f t="shared" si="6"/>
        <v>2.0880021993460178</v>
      </c>
      <c r="O91">
        <f t="shared" si="7"/>
        <v>2.6350501112575713</v>
      </c>
      <c r="P91">
        <f t="shared" si="8"/>
        <v>13.577272008869082</v>
      </c>
      <c r="Q91">
        <f t="shared" si="9"/>
        <v>2.637163806551988</v>
      </c>
    </row>
    <row r="92" spans="1:17" hidden="1" x14ac:dyDescent="0.3">
      <c r="A92">
        <v>4</v>
      </c>
      <c r="B92">
        <v>0.68996274300261795</v>
      </c>
      <c r="C92">
        <v>1.4930341323991001</v>
      </c>
      <c r="D92">
        <v>0.80307138939649003</v>
      </c>
      <c r="E92">
        <v>0.159529482925861</v>
      </c>
      <c r="F92">
        <v>0.15879156429704699</v>
      </c>
      <c r="G92">
        <v>0.25318644747110097</v>
      </c>
      <c r="H92">
        <v>0.25226744903380999</v>
      </c>
      <c r="I92">
        <v>4.4772812082564402</v>
      </c>
      <c r="J92">
        <v>35.761659946961203</v>
      </c>
      <c r="K92">
        <v>8.1627718890839702</v>
      </c>
      <c r="L92">
        <v>17.3345727898452</v>
      </c>
      <c r="M92">
        <f t="shared" si="5"/>
        <v>7.987360695820052</v>
      </c>
      <c r="N92">
        <f t="shared" si="6"/>
        <v>2.0778603792786501</v>
      </c>
      <c r="O92">
        <f t="shared" si="7"/>
        <v>2.1236135255753781</v>
      </c>
      <c r="P92">
        <f t="shared" si="8"/>
        <v>9.1718009007612302</v>
      </c>
      <c r="Q92">
        <f t="shared" si="9"/>
        <v>2.5873918641780866</v>
      </c>
    </row>
    <row r="93" spans="1:17" hidden="1" x14ac:dyDescent="0.3">
      <c r="A93">
        <v>4</v>
      </c>
      <c r="B93">
        <v>0.60701640231377896</v>
      </c>
      <c r="C93">
        <v>1.4025472152840099</v>
      </c>
      <c r="D93">
        <v>0.79553081297023198</v>
      </c>
      <c r="E93">
        <v>0.16000226339401299</v>
      </c>
      <c r="F93">
        <v>0.158947074410658</v>
      </c>
      <c r="G93">
        <v>0.25260122734857199</v>
      </c>
      <c r="H93">
        <v>0.25739502242314799</v>
      </c>
      <c r="I93">
        <v>4.05583962248138</v>
      </c>
      <c r="J93">
        <v>32.540123812181101</v>
      </c>
      <c r="K93">
        <v>7.17369608494689</v>
      </c>
      <c r="L93">
        <v>19.326092059144099</v>
      </c>
      <c r="M93">
        <f t="shared" si="5"/>
        <v>8.023030208544812</v>
      </c>
      <c r="N93">
        <f t="shared" si="6"/>
        <v>2.082316182007458</v>
      </c>
      <c r="O93">
        <f t="shared" si="7"/>
        <v>2.6940215797122353</v>
      </c>
      <c r="P93">
        <f t="shared" si="8"/>
        <v>12.152395974197209</v>
      </c>
      <c r="Q93">
        <f t="shared" si="9"/>
        <v>2.6175179490946743</v>
      </c>
    </row>
    <row r="94" spans="1:17" hidden="1" x14ac:dyDescent="0.3">
      <c r="A94">
        <v>4</v>
      </c>
      <c r="B94">
        <v>0.59947582588752102</v>
      </c>
      <c r="C94">
        <v>1.4025472152840099</v>
      </c>
      <c r="D94">
        <v>0.80307138939649003</v>
      </c>
      <c r="E94">
        <v>0.159467056297144</v>
      </c>
      <c r="F94">
        <v>0.15897931529307299</v>
      </c>
      <c r="G94">
        <v>0.25332492398736001</v>
      </c>
      <c r="H94">
        <v>0.25213242258544799</v>
      </c>
      <c r="I94">
        <v>4.0302933880028302</v>
      </c>
      <c r="J94">
        <v>31.908972634689398</v>
      </c>
      <c r="K94">
        <v>7.1775294674722998</v>
      </c>
      <c r="L94">
        <v>15.7255703594514</v>
      </c>
      <c r="M94">
        <f t="shared" si="5"/>
        <v>7.9172828285093049</v>
      </c>
      <c r="N94">
        <f t="shared" si="6"/>
        <v>2.0690480697534643</v>
      </c>
      <c r="O94">
        <f t="shared" si="7"/>
        <v>2.190944729759424</v>
      </c>
      <c r="P94">
        <f t="shared" si="8"/>
        <v>8.5480408919790989</v>
      </c>
      <c r="Q94">
        <f t="shared" si="9"/>
        <v>2.5764186062068051</v>
      </c>
    </row>
    <row r="95" spans="1:17" hidden="1" x14ac:dyDescent="0.3">
      <c r="A95">
        <v>4</v>
      </c>
      <c r="B95">
        <v>0.51652948519868103</v>
      </c>
      <c r="C95">
        <v>1.31206029816891</v>
      </c>
      <c r="D95">
        <v>0.79553081297023198</v>
      </c>
      <c r="E95">
        <v>0.15967332372935999</v>
      </c>
      <c r="F95">
        <v>0.15914641066589599</v>
      </c>
      <c r="G95">
        <v>0.25321969676113798</v>
      </c>
      <c r="H95">
        <v>0.25668354019679601</v>
      </c>
      <c r="I95">
        <v>3.6804227388160902</v>
      </c>
      <c r="J95">
        <v>29.245682485405499</v>
      </c>
      <c r="K95">
        <v>6.3979524624804798</v>
      </c>
      <c r="L95">
        <v>17.272766155403101</v>
      </c>
      <c r="M95">
        <f t="shared" si="5"/>
        <v>7.9462835007951238</v>
      </c>
      <c r="N95">
        <f t="shared" si="6"/>
        <v>2.0727043351847318</v>
      </c>
      <c r="O95">
        <f t="shared" si="7"/>
        <v>2.69973343139009</v>
      </c>
      <c r="P95">
        <f t="shared" si="8"/>
        <v>10.874813692922622</v>
      </c>
      <c r="Q95">
        <f t="shared" si="9"/>
        <v>2.6054356429589336</v>
      </c>
    </row>
    <row r="96" spans="1:17" hidden="1" x14ac:dyDescent="0.3">
      <c r="A96">
        <v>4</v>
      </c>
      <c r="B96">
        <v>0.50521862055929401</v>
      </c>
      <c r="C96">
        <v>1.31206029816891</v>
      </c>
      <c r="D96">
        <v>0.80684167760962</v>
      </c>
      <c r="E96">
        <v>0.16030932529934599</v>
      </c>
      <c r="F96">
        <v>0.15917084140649401</v>
      </c>
      <c r="G96">
        <v>0.25171861374290899</v>
      </c>
      <c r="H96">
        <v>0.25196604280694102</v>
      </c>
      <c r="I96">
        <v>3.6318563076214199</v>
      </c>
      <c r="J96">
        <v>28.762622934074699</v>
      </c>
      <c r="K96">
        <v>6.2298050387474797</v>
      </c>
      <c r="L96">
        <v>14.381004509958</v>
      </c>
      <c r="M96">
        <f t="shared" si="5"/>
        <v>7.9195376958379597</v>
      </c>
      <c r="N96">
        <f t="shared" si="6"/>
        <v>2.0693328323850069</v>
      </c>
      <c r="O96">
        <f t="shared" si="7"/>
        <v>2.3084196729291775</v>
      </c>
      <c r="P96">
        <f t="shared" si="8"/>
        <v>8.1511994712105214</v>
      </c>
      <c r="Q96">
        <f t="shared" si="9"/>
        <v>2.5647322018809211</v>
      </c>
    </row>
    <row r="97" spans="1:17" hidden="1" x14ac:dyDescent="0.3">
      <c r="A97">
        <v>4</v>
      </c>
      <c r="B97">
        <v>0.42227227987045501</v>
      </c>
      <c r="C97">
        <v>1.2215733810538101</v>
      </c>
      <c r="D97">
        <v>0.79930110118336095</v>
      </c>
      <c r="E97">
        <v>0.16027851486587899</v>
      </c>
      <c r="F97">
        <v>0.15934689762436999</v>
      </c>
      <c r="G97">
        <v>0.25203749371912298</v>
      </c>
      <c r="H97">
        <v>0.25600932922016301</v>
      </c>
      <c r="I97">
        <v>3.3373997198470802</v>
      </c>
      <c r="J97">
        <v>26.584158100356401</v>
      </c>
      <c r="K97">
        <v>5.5490278334676004</v>
      </c>
      <c r="L97">
        <v>15.641447553945101</v>
      </c>
      <c r="M97">
        <f t="shared" si="5"/>
        <v>7.9655301527904747</v>
      </c>
      <c r="N97">
        <f t="shared" si="6"/>
        <v>2.0751235014470959</v>
      </c>
      <c r="O97">
        <f t="shared" si="7"/>
        <v>2.8187725892466329</v>
      </c>
      <c r="P97">
        <f t="shared" si="8"/>
        <v>10.092419720477501</v>
      </c>
      <c r="Q97">
        <f t="shared" si="9"/>
        <v>2.5961724541288658</v>
      </c>
    </row>
    <row r="98" spans="1:17" hidden="1" x14ac:dyDescent="0.3">
      <c r="A98">
        <v>4</v>
      </c>
      <c r="B98">
        <v>0.41473170344419702</v>
      </c>
      <c r="C98">
        <v>1.2215733810538101</v>
      </c>
      <c r="D98">
        <v>0.806841677609619</v>
      </c>
      <c r="E98">
        <v>0.16021427231643101</v>
      </c>
      <c r="F98">
        <v>0.15936486135918301</v>
      </c>
      <c r="G98">
        <v>0.25191496561569399</v>
      </c>
      <c r="H98">
        <v>0.25177965760586302</v>
      </c>
      <c r="I98">
        <v>3.31347891272515</v>
      </c>
      <c r="J98">
        <v>26.2166818893601</v>
      </c>
      <c r="K98">
        <v>5.4945142138569798</v>
      </c>
      <c r="L98">
        <v>13.2932357805699</v>
      </c>
      <c r="M98">
        <f t="shared" si="5"/>
        <v>7.9121318046350124</v>
      </c>
      <c r="N98">
        <f t="shared" si="6"/>
        <v>2.068397253008122</v>
      </c>
      <c r="O98">
        <f t="shared" si="7"/>
        <v>2.4193650727201335</v>
      </c>
      <c r="P98">
        <f t="shared" si="8"/>
        <v>7.7987215667129197</v>
      </c>
      <c r="Q98">
        <f t="shared" si="9"/>
        <v>2.5635726443086737</v>
      </c>
    </row>
    <row r="99" spans="1:17" hidden="1" x14ac:dyDescent="0.3">
      <c r="A99">
        <v>4</v>
      </c>
      <c r="B99">
        <v>0.33178536275535703</v>
      </c>
      <c r="C99">
        <v>1.1273161757255901</v>
      </c>
      <c r="D99">
        <v>0.79553081297023198</v>
      </c>
      <c r="E99">
        <v>0.15997083954288399</v>
      </c>
      <c r="F99">
        <v>0.158613575568154</v>
      </c>
      <c r="G99">
        <v>0.25261657805916499</v>
      </c>
      <c r="H99">
        <v>0.25714907555460698</v>
      </c>
      <c r="I99">
        <v>3.0608708745184998</v>
      </c>
      <c r="J99">
        <v>24.398449314883798</v>
      </c>
      <c r="K99">
        <v>4.8040139861691697</v>
      </c>
      <c r="L99">
        <v>13.8849382111026</v>
      </c>
      <c r="M99">
        <f t="shared" si="5"/>
        <v>7.9710808835481748</v>
      </c>
      <c r="N99">
        <f t="shared" si="6"/>
        <v>2.0758201026215239</v>
      </c>
      <c r="O99">
        <f t="shared" si="7"/>
        <v>2.890278473600941</v>
      </c>
      <c r="P99">
        <f t="shared" si="8"/>
        <v>9.0809242249334297</v>
      </c>
      <c r="Q99">
        <f t="shared" si="9"/>
        <v>2.6093522322173039</v>
      </c>
    </row>
    <row r="100" spans="1:17" hidden="1" x14ac:dyDescent="0.3">
      <c r="A100">
        <v>4</v>
      </c>
      <c r="B100">
        <v>0.32424478632909898</v>
      </c>
      <c r="C100">
        <v>1.1273161757255901</v>
      </c>
      <c r="D100">
        <v>0.80307138939649003</v>
      </c>
      <c r="E100">
        <v>0.160111752964986</v>
      </c>
      <c r="F100">
        <v>0.15864066824856199</v>
      </c>
      <c r="G100">
        <v>0.25212488028875601</v>
      </c>
      <c r="H100">
        <v>0.25337690260838103</v>
      </c>
      <c r="I100">
        <v>3.0382445345334301</v>
      </c>
      <c r="J100">
        <v>24.129983042433601</v>
      </c>
      <c r="K100">
        <v>4.7204421302466599</v>
      </c>
      <c r="L100">
        <v>11.9591637074064</v>
      </c>
      <c r="M100">
        <f t="shared" si="5"/>
        <v>7.9420806219401747</v>
      </c>
      <c r="N100">
        <f t="shared" si="6"/>
        <v>2.0721752839972702</v>
      </c>
      <c r="O100">
        <f t="shared" si="7"/>
        <v>2.533483808810403</v>
      </c>
      <c r="P100">
        <f t="shared" si="8"/>
        <v>7.2387215771597404</v>
      </c>
      <c r="Q100">
        <f t="shared" si="9"/>
        <v>2.5803126737642987</v>
      </c>
    </row>
    <row r="101" spans="1:17" hidden="1" x14ac:dyDescent="0.3">
      <c r="A101">
        <v>4</v>
      </c>
      <c r="B101">
        <v>0.24129844564026001</v>
      </c>
      <c r="C101">
        <v>1.0368292586104899</v>
      </c>
      <c r="D101">
        <v>0.79553081297023198</v>
      </c>
      <c r="E101">
        <v>0.159665521529744</v>
      </c>
      <c r="F101">
        <v>0.15881686159629901</v>
      </c>
      <c r="G101">
        <v>0.25319244573592298</v>
      </c>
      <c r="H101">
        <v>0.25650459016611499</v>
      </c>
      <c r="I101">
        <v>2.8227296109486102</v>
      </c>
      <c r="J101">
        <v>22.724649329119199</v>
      </c>
      <c r="K101">
        <v>3.9325487369238501</v>
      </c>
      <c r="L101">
        <v>12.9406848389036</v>
      </c>
      <c r="M101">
        <f t="shared" si="5"/>
        <v>8.0505937376985681</v>
      </c>
      <c r="N101">
        <f t="shared" si="6"/>
        <v>2.0857458449464614</v>
      </c>
      <c r="O101">
        <f t="shared" si="7"/>
        <v>3.2906610202690501</v>
      </c>
      <c r="P101">
        <f t="shared" si="8"/>
        <v>9.0081361019797495</v>
      </c>
      <c r="Q101">
        <f t="shared" si="9"/>
        <v>2.6218291120101638</v>
      </c>
    </row>
    <row r="102" spans="1:17" hidden="1" x14ac:dyDescent="0.3">
      <c r="A102">
        <v>4</v>
      </c>
      <c r="B102">
        <v>0.23375786921400199</v>
      </c>
      <c r="C102">
        <v>1.0368292586104899</v>
      </c>
      <c r="D102">
        <v>0.80307138939649003</v>
      </c>
      <c r="E102">
        <v>0.16000638133471301</v>
      </c>
      <c r="F102">
        <v>0.15883775481729701</v>
      </c>
      <c r="G102">
        <v>0.25234006517727398</v>
      </c>
      <c r="H102">
        <v>0.253174641390354</v>
      </c>
      <c r="I102">
        <v>2.8023537467703199</v>
      </c>
      <c r="J102">
        <v>22.529699481764698</v>
      </c>
      <c r="K102">
        <v>3.8179121664435298</v>
      </c>
      <c r="L102">
        <v>11.3650392185284</v>
      </c>
      <c r="M102">
        <f t="shared" si="5"/>
        <v>8.0395629951179135</v>
      </c>
      <c r="N102">
        <f t="shared" si="6"/>
        <v>2.0843747278725959</v>
      </c>
      <c r="O102">
        <f t="shared" si="7"/>
        <v>2.9767681190830504</v>
      </c>
      <c r="P102">
        <f t="shared" si="8"/>
        <v>7.5471270520848703</v>
      </c>
      <c r="Q102">
        <f t="shared" si="9"/>
        <v>2.5955036568280856</v>
      </c>
    </row>
    <row r="103" spans="1:17" hidden="1" x14ac:dyDescent="0.3">
      <c r="A103">
        <v>4</v>
      </c>
      <c r="B103">
        <v>0.147041240312033</v>
      </c>
      <c r="C103">
        <v>0.94634234149539498</v>
      </c>
      <c r="D103">
        <v>0.79930110118336095</v>
      </c>
      <c r="E103">
        <v>0.16028054246648299</v>
      </c>
      <c r="F103">
        <v>0.15902019582604701</v>
      </c>
      <c r="G103">
        <v>0.251992846962662</v>
      </c>
      <c r="H103">
        <v>0.25586073046494801</v>
      </c>
      <c r="I103">
        <v>2.61518793536926</v>
      </c>
      <c r="J103">
        <v>21.441426038665199</v>
      </c>
      <c r="K103">
        <v>2.7117663338115099</v>
      </c>
      <c r="L103">
        <v>12.244817751200999</v>
      </c>
      <c r="M103">
        <f t="shared" si="5"/>
        <v>8.1988088690221446</v>
      </c>
      <c r="N103">
        <f t="shared" si="6"/>
        <v>2.1039888838436216</v>
      </c>
      <c r="O103">
        <f t="shared" si="7"/>
        <v>4.5154398439596957</v>
      </c>
      <c r="P103">
        <f t="shared" si="8"/>
        <v>9.5330514173894905</v>
      </c>
      <c r="Q103">
        <f t="shared" si="9"/>
        <v>2.6322857315330541</v>
      </c>
    </row>
    <row r="104" spans="1:17" hidden="1" x14ac:dyDescent="0.3">
      <c r="A104">
        <v>4</v>
      </c>
      <c r="B104">
        <v>0.143270952098904</v>
      </c>
      <c r="C104">
        <v>0.94634234149539498</v>
      </c>
      <c r="D104">
        <v>0.80307138939649003</v>
      </c>
      <c r="E104">
        <v>0.15990217694496101</v>
      </c>
      <c r="F104">
        <v>0.15903567323519299</v>
      </c>
      <c r="G104">
        <v>0.25255327000810901</v>
      </c>
      <c r="H104">
        <v>0.25297839923026799</v>
      </c>
      <c r="I104">
        <v>2.6093212927532501</v>
      </c>
      <c r="J104">
        <v>21.308651247415199</v>
      </c>
      <c r="K104">
        <v>2.6822338782365001</v>
      </c>
      <c r="L104">
        <v>10.9658272137977</v>
      </c>
      <c r="M104">
        <f t="shared" si="5"/>
        <v>8.1663577829969629</v>
      </c>
      <c r="N104">
        <f t="shared" si="6"/>
        <v>2.1000230056771154</v>
      </c>
      <c r="O104">
        <f t="shared" si="7"/>
        <v>4.0883188087264974</v>
      </c>
      <c r="P104">
        <f t="shared" si="8"/>
        <v>8.2835933355611999</v>
      </c>
      <c r="Q104">
        <f t="shared" si="9"/>
        <v>2.6149891944915198</v>
      </c>
    </row>
    <row r="105" spans="1:17" hidden="1" x14ac:dyDescent="0.3">
      <c r="A105">
        <v>4</v>
      </c>
      <c r="B105">
        <v>5.6554323196935902E-2</v>
      </c>
      <c r="C105">
        <v>0.85585542438029705</v>
      </c>
      <c r="D105">
        <v>0.79930110118336095</v>
      </c>
      <c r="E105">
        <v>0.159970186570179</v>
      </c>
      <c r="F105">
        <v>0.159223512104151</v>
      </c>
      <c r="G105">
        <v>0.25257639196779502</v>
      </c>
      <c r="H105">
        <v>0.25520996765373299</v>
      </c>
      <c r="I105">
        <v>2.4809419559530901</v>
      </c>
      <c r="J105">
        <v>20.516970314440201</v>
      </c>
      <c r="K105">
        <v>1.2321882757282601</v>
      </c>
      <c r="L105">
        <v>11.783135076067801</v>
      </c>
      <c r="M105">
        <f t="shared" si="5"/>
        <v>8.2698308459853944</v>
      </c>
      <c r="N105">
        <f t="shared" si="6"/>
        <v>2.1126140548947823</v>
      </c>
      <c r="O105">
        <f t="shared" si="7"/>
        <v>9.5627716219776691</v>
      </c>
      <c r="P105">
        <f t="shared" si="8"/>
        <v>10.55094680033954</v>
      </c>
      <c r="Q105">
        <f t="shared" si="9"/>
        <v>2.643076622523187</v>
      </c>
    </row>
    <row r="106" spans="1:17" hidden="1" x14ac:dyDescent="0.3">
      <c r="A106">
        <v>4</v>
      </c>
      <c r="B106">
        <v>5.2784034983806898E-2</v>
      </c>
      <c r="C106">
        <v>0.85585542438029705</v>
      </c>
      <c r="D106">
        <v>0.80307138939649003</v>
      </c>
      <c r="E106">
        <v>0.15980234285768199</v>
      </c>
      <c r="F106">
        <v>0.159234300380977</v>
      </c>
      <c r="G106">
        <v>0.25275868774787702</v>
      </c>
      <c r="H106">
        <v>0.252794895100246</v>
      </c>
      <c r="I106">
        <v>2.4773179323281602</v>
      </c>
      <c r="J106">
        <v>20.439279960321901</v>
      </c>
      <c r="K106">
        <v>1.1637840448737999</v>
      </c>
      <c r="L106">
        <v>10.766547633697799</v>
      </c>
      <c r="M106">
        <f t="shared" si="5"/>
        <v>8.2505679604528019</v>
      </c>
      <c r="N106">
        <f t="shared" si="6"/>
        <v>2.1102820416682202</v>
      </c>
      <c r="O106">
        <f t="shared" si="7"/>
        <v>9.2513277537374368</v>
      </c>
      <c r="P106">
        <f t="shared" si="8"/>
        <v>9.6027635888239988</v>
      </c>
      <c r="Q106">
        <f t="shared" si="9"/>
        <v>2.6277639441919374</v>
      </c>
    </row>
    <row r="107" spans="1:17" hidden="1" x14ac:dyDescent="0.3">
      <c r="A107">
        <v>4</v>
      </c>
      <c r="B107">
        <v>9.9912637647920199</v>
      </c>
      <c r="C107">
        <v>10.6510642020896</v>
      </c>
      <c r="D107">
        <v>0.65980043729758697</v>
      </c>
      <c r="E107">
        <v>0.159437473042119</v>
      </c>
      <c r="F107">
        <v>0.158727284226652</v>
      </c>
      <c r="G107">
        <v>0.373288172760045</v>
      </c>
      <c r="H107">
        <v>0.25830502274064798</v>
      </c>
      <c r="I107">
        <v>3272.4426565199401</v>
      </c>
      <c r="J107">
        <v>3084.8914419162202</v>
      </c>
      <c r="K107">
        <v>803.25075929123</v>
      </c>
      <c r="L107">
        <v>-801.12593061707605</v>
      </c>
      <c r="M107">
        <f t="shared" si="5"/>
        <v>0.94268770020154602</v>
      </c>
      <c r="N107">
        <f t="shared" si="6"/>
        <v>-5.9020228080504417E-2</v>
      </c>
      <c r="O107">
        <f t="shared" si="7"/>
        <v>-0.99735471314583146</v>
      </c>
      <c r="P107">
        <f t="shared" si="8"/>
        <v>-1604.3766899083062</v>
      </c>
      <c r="Q107">
        <f t="shared" si="9"/>
        <v>-8.9451635288755341E-2</v>
      </c>
    </row>
    <row r="108" spans="1:17" hidden="1" x14ac:dyDescent="0.3">
      <c r="A108">
        <v>4</v>
      </c>
      <c r="B108">
        <v>2.92574365338815</v>
      </c>
      <c r="C108">
        <v>3.7740585013421901</v>
      </c>
      <c r="D108">
        <v>0.848314847954039</v>
      </c>
      <c r="E108">
        <v>0.15952990656788499</v>
      </c>
      <c r="F108">
        <v>0.15908956656033099</v>
      </c>
      <c r="G108">
        <v>0.257556701081743</v>
      </c>
      <c r="H108">
        <v>0.26390574117671001</v>
      </c>
      <c r="I108">
        <v>598.20063336843805</v>
      </c>
      <c r="J108">
        <v>1821.9160498127301</v>
      </c>
      <c r="K108">
        <v>720.31691476101503</v>
      </c>
      <c r="L108">
        <v>3897.7364384626599</v>
      </c>
      <c r="M108">
        <f t="shared" si="5"/>
        <v>3.0456605161943933</v>
      </c>
      <c r="N108">
        <f t="shared" si="6"/>
        <v>1.1137177959289308</v>
      </c>
      <c r="O108">
        <f t="shared" si="7"/>
        <v>5.411141066645424</v>
      </c>
      <c r="P108">
        <f t="shared" si="8"/>
        <v>3177.4195237016447</v>
      </c>
      <c r="Q108">
        <f t="shared" si="9"/>
        <v>1.3128590152759765</v>
      </c>
    </row>
    <row r="109" spans="1:17" hidden="1" x14ac:dyDescent="0.3">
      <c r="A109">
        <v>4</v>
      </c>
      <c r="B109">
        <v>2.9973791294376002</v>
      </c>
      <c r="C109">
        <v>3.7401259074240301</v>
      </c>
      <c r="D109">
        <v>0.74274677798642497</v>
      </c>
      <c r="E109">
        <v>0.159561746393098</v>
      </c>
      <c r="F109">
        <v>0.15920374202916299</v>
      </c>
      <c r="G109">
        <v>0.25093801357567103</v>
      </c>
      <c r="H109">
        <v>0.28873779237303998</v>
      </c>
      <c r="I109">
        <v>678.07512201182101</v>
      </c>
      <c r="J109">
        <v>1381.6278403567001</v>
      </c>
      <c r="K109">
        <v>655.52753311239098</v>
      </c>
      <c r="L109">
        <v>1573.64100492125</v>
      </c>
      <c r="M109">
        <f t="shared" si="5"/>
        <v>2.0375734125998712</v>
      </c>
      <c r="N109">
        <f t="shared" si="6"/>
        <v>0.71175959620765294</v>
      </c>
      <c r="O109">
        <f t="shared" si="7"/>
        <v>2.4005719446286742</v>
      </c>
      <c r="P109">
        <f t="shared" si="8"/>
        <v>918.113471808859</v>
      </c>
      <c r="Q109">
        <f t="shared" si="9"/>
        <v>0.95828028784886488</v>
      </c>
    </row>
    <row r="110" spans="1:17" hidden="1" x14ac:dyDescent="0.3">
      <c r="A110">
        <v>4</v>
      </c>
      <c r="B110">
        <v>18.6516157903494</v>
      </c>
      <c r="C110">
        <v>19.465998044385302</v>
      </c>
      <c r="D110">
        <v>0.81438225403587605</v>
      </c>
      <c r="E110">
        <v>0.15961880091830399</v>
      </c>
      <c r="F110">
        <v>0.15917581296160799</v>
      </c>
      <c r="G110">
        <v>0.25482992283924799</v>
      </c>
      <c r="H110">
        <v>0.26853171184455799</v>
      </c>
      <c r="I110">
        <v>6720.0721644876303</v>
      </c>
      <c r="J110">
        <v>6363.6607070937298</v>
      </c>
      <c r="K110">
        <v>244.732328089406</v>
      </c>
      <c r="L110">
        <v>-1037.09396419364</v>
      </c>
      <c r="M110">
        <f t="shared" si="5"/>
        <v>0.94696315029511668</v>
      </c>
      <c r="N110">
        <f t="shared" si="6"/>
        <v>-5.4495098596323399E-2</v>
      </c>
      <c r="O110">
        <f t="shared" si="7"/>
        <v>-4.2376664018607597</v>
      </c>
      <c r="P110">
        <f t="shared" si="8"/>
        <v>-1281.8262922830459</v>
      </c>
      <c r="Q110">
        <f t="shared" si="9"/>
        <v>-6.6915871909361366E-2</v>
      </c>
    </row>
    <row r="111" spans="1:17" hidden="1" x14ac:dyDescent="0.3">
      <c r="A111">
        <v>4</v>
      </c>
      <c r="B111">
        <v>3.06901460548705</v>
      </c>
      <c r="C111">
        <v>3.7552070602765402</v>
      </c>
      <c r="D111">
        <v>0.68619245478948898</v>
      </c>
      <c r="E111">
        <v>0.159539793580395</v>
      </c>
      <c r="F111">
        <v>0.15936734720947801</v>
      </c>
      <c r="G111">
        <v>0.249432134116466</v>
      </c>
      <c r="H111">
        <v>0.33317884031523898</v>
      </c>
      <c r="I111">
        <v>778.49389357312805</v>
      </c>
      <c r="J111">
        <v>1340.29878899762</v>
      </c>
      <c r="K111">
        <v>635.17952409894201</v>
      </c>
      <c r="L111">
        <v>1074.75105532571</v>
      </c>
      <c r="M111">
        <f t="shared" si="5"/>
        <v>1.721656136371118</v>
      </c>
      <c r="N111">
        <f t="shared" si="6"/>
        <v>0.54328669754661774</v>
      </c>
      <c r="O111">
        <f t="shared" si="7"/>
        <v>1.6920429808412651</v>
      </c>
      <c r="P111">
        <f t="shared" si="8"/>
        <v>439.571531226768</v>
      </c>
      <c r="Q111">
        <f t="shared" si="9"/>
        <v>0.79174099591824709</v>
      </c>
    </row>
    <row r="112" spans="1:17" hidden="1" x14ac:dyDescent="0.3">
      <c r="A112">
        <v>4</v>
      </c>
      <c r="B112">
        <v>28.691893301912099</v>
      </c>
      <c r="C112">
        <v>29.378085756701601</v>
      </c>
      <c r="D112">
        <v>0.68619245478948798</v>
      </c>
      <c r="E112">
        <v>0.15988323056590201</v>
      </c>
      <c r="F112">
        <v>0.158850410539423</v>
      </c>
      <c r="G112">
        <v>0.37238483219965302</v>
      </c>
      <c r="H112">
        <v>0.28538039015201899</v>
      </c>
      <c r="I112">
        <v>19511918.4169553</v>
      </c>
      <c r="J112">
        <v>10636900.0843329</v>
      </c>
      <c r="K112">
        <v>-29205897.219204102</v>
      </c>
      <c r="L112">
        <v>-5070438.1534895403</v>
      </c>
      <c r="M112">
        <f t="shared" si="5"/>
        <v>0.54514886014948372</v>
      </c>
      <c r="N112">
        <f t="shared" si="6"/>
        <v>-0.60669638372529422</v>
      </c>
      <c r="O112">
        <f t="shared" si="7"/>
        <v>0.17361008002710887</v>
      </c>
      <c r="P112">
        <f t="shared" si="8"/>
        <v>24135459.06571456</v>
      </c>
      <c r="Q112">
        <f t="shared" si="9"/>
        <v>-0.88414901605323781</v>
      </c>
    </row>
    <row r="113" spans="1:17" hidden="1" x14ac:dyDescent="0.3">
      <c r="A113">
        <v>4</v>
      </c>
      <c r="B113">
        <v>3.12179864047086</v>
      </c>
      <c r="C113">
        <v>3.83061282453912</v>
      </c>
      <c r="D113">
        <v>0.70881418406826402</v>
      </c>
      <c r="E113">
        <v>0.16001934226244999</v>
      </c>
      <c r="F113">
        <v>0.15865076047360999</v>
      </c>
      <c r="G113">
        <v>0.24878006125017399</v>
      </c>
      <c r="H113">
        <v>0.36061561059706898</v>
      </c>
      <c r="I113">
        <v>1005.6161162524201</v>
      </c>
      <c r="J113">
        <v>2613.4376006070202</v>
      </c>
      <c r="K113">
        <v>979.65060573925996</v>
      </c>
      <c r="L113">
        <v>3429.6800387785502</v>
      </c>
      <c r="M113">
        <f t="shared" si="5"/>
        <v>2.598842200686271</v>
      </c>
      <c r="N113">
        <f t="shared" si="6"/>
        <v>0.9550660384202817</v>
      </c>
      <c r="O113">
        <f t="shared" si="7"/>
        <v>3.5009216742028744</v>
      </c>
      <c r="P113">
        <f t="shared" si="8"/>
        <v>2450.0294330392903</v>
      </c>
      <c r="Q113">
        <f t="shared" si="9"/>
        <v>1.3474138355113774</v>
      </c>
    </row>
    <row r="114" spans="1:17" hidden="1" x14ac:dyDescent="0.3">
      <c r="A114">
        <v>4</v>
      </c>
      <c r="B114">
        <v>3.42719198573432</v>
      </c>
      <c r="C114">
        <v>3.9814243530642899</v>
      </c>
      <c r="D114">
        <v>0.55423236732997205</v>
      </c>
      <c r="E114">
        <v>0.160183033832028</v>
      </c>
      <c r="F114">
        <v>0.15834628826623601</v>
      </c>
      <c r="G114">
        <v>0.26147503126620403</v>
      </c>
      <c r="H114">
        <v>0.37982613741342203</v>
      </c>
      <c r="I114">
        <v>4662.4551201472796</v>
      </c>
      <c r="J114">
        <v>1394.4845695700201</v>
      </c>
      <c r="K114">
        <v>-50912.273884050803</v>
      </c>
      <c r="L114">
        <v>-589.28072532631495</v>
      </c>
      <c r="M114">
        <f t="shared" si="5"/>
        <v>0.29908804130772426</v>
      </c>
      <c r="N114">
        <f t="shared" si="6"/>
        <v>-1.2070172963998953</v>
      </c>
      <c r="O114">
        <f t="shared" si="7"/>
        <v>1.157443343953486E-2</v>
      </c>
      <c r="P114">
        <f t="shared" si="8"/>
        <v>50322.993158724486</v>
      </c>
      <c r="Q114">
        <f t="shared" si="9"/>
        <v>-2.1778181274665269</v>
      </c>
    </row>
    <row r="115" spans="1:17" hidden="1" x14ac:dyDescent="0.3">
      <c r="A115">
        <v>4</v>
      </c>
      <c r="B115">
        <v>3.1142580640445998</v>
      </c>
      <c r="C115">
        <v>3.8758562830966699</v>
      </c>
      <c r="D115">
        <v>0.76159821905207103</v>
      </c>
      <c r="E115">
        <v>0.15984674308827701</v>
      </c>
      <c r="F115">
        <v>0.15866016277766601</v>
      </c>
      <c r="G115">
        <v>0.249852395429494</v>
      </c>
      <c r="H115">
        <v>0.334320462367661</v>
      </c>
      <c r="I115">
        <v>78687.507092336498</v>
      </c>
      <c r="J115">
        <v>1577.3278647791899</v>
      </c>
      <c r="K115">
        <v>-1323633.58208133</v>
      </c>
      <c r="L115">
        <v>2463.73506890521</v>
      </c>
      <c r="M115">
        <f t="shared" si="5"/>
        <v>2.0045467483526473E-2</v>
      </c>
      <c r="N115">
        <f t="shared" si="6"/>
        <v>-3.9097522114571204</v>
      </c>
      <c r="O115">
        <f t="shared" si="7"/>
        <v>-1.8613422190687718E-3</v>
      </c>
      <c r="P115">
        <f t="shared" si="8"/>
        <v>1326097.3171502352</v>
      </c>
      <c r="Q115">
        <f t="shared" si="9"/>
        <v>-5.1336152234224341</v>
      </c>
    </row>
    <row r="116" spans="1:17" hidden="1" x14ac:dyDescent="0.3">
      <c r="A116">
        <v>4</v>
      </c>
      <c r="B116">
        <v>3.3253942039798301</v>
      </c>
      <c r="C116">
        <v>3.8984780123754499</v>
      </c>
      <c r="D116">
        <v>0.57308380839561801</v>
      </c>
      <c r="E116">
        <v>0.159667952619373</v>
      </c>
      <c r="F116">
        <v>0.159173714767604</v>
      </c>
      <c r="G116">
        <v>0.26155414472472999</v>
      </c>
      <c r="H116">
        <v>0.37720701141644802</v>
      </c>
      <c r="I116">
        <v>847.49367886719699</v>
      </c>
      <c r="J116">
        <v>957.16742295231802</v>
      </c>
      <c r="K116">
        <v>-1904.07673441015</v>
      </c>
      <c r="L116">
        <v>1337.8550173405899</v>
      </c>
      <c r="M116">
        <f t="shared" si="5"/>
        <v>1.1294095128021679</v>
      </c>
      <c r="N116">
        <f t="shared" si="6"/>
        <v>0.12169494110245155</v>
      </c>
      <c r="O116">
        <f t="shared" si="7"/>
        <v>-0.70262662904446138</v>
      </c>
      <c r="P116">
        <f t="shared" si="8"/>
        <v>3241.9317517507397</v>
      </c>
      <c r="Q116">
        <f t="shared" si="9"/>
        <v>0.21235103717751747</v>
      </c>
    </row>
    <row r="117" spans="1:17" hidden="1" x14ac:dyDescent="0.3">
      <c r="A117">
        <v>4</v>
      </c>
      <c r="B117">
        <v>3.0313117233557598</v>
      </c>
      <c r="C117">
        <v>3.7966802306209599</v>
      </c>
      <c r="D117">
        <v>0.7653685072652</v>
      </c>
      <c r="E117">
        <v>0.15960943579071901</v>
      </c>
      <c r="F117">
        <v>0.15828095126206501</v>
      </c>
      <c r="G117">
        <v>0.25039649722752</v>
      </c>
      <c r="H117">
        <v>0.32972650894313699</v>
      </c>
      <c r="I117">
        <v>1255.1614922096401</v>
      </c>
      <c r="J117">
        <v>852.853203718602</v>
      </c>
      <c r="K117">
        <v>-12148.4846017359</v>
      </c>
      <c r="L117">
        <v>1767.77792420475</v>
      </c>
      <c r="M117">
        <f t="shared" si="5"/>
        <v>0.6794768713125533</v>
      </c>
      <c r="N117">
        <f t="shared" si="6"/>
        <v>-0.38643208377369137</v>
      </c>
      <c r="O117">
        <f t="shared" si="7"/>
        <v>-0.14551427459126481</v>
      </c>
      <c r="P117">
        <f t="shared" si="8"/>
        <v>13916.262525940649</v>
      </c>
      <c r="Q117">
        <f t="shared" si="9"/>
        <v>-0.50489676555216911</v>
      </c>
    </row>
    <row r="118" spans="1:17" hidden="1" x14ac:dyDescent="0.3">
      <c r="A118">
        <v>4</v>
      </c>
      <c r="B118">
        <v>3.2612993043566401</v>
      </c>
      <c r="C118">
        <v>3.7929099424078299</v>
      </c>
      <c r="D118">
        <v>0.53161063805119801</v>
      </c>
      <c r="E118">
        <v>0.160112624969935</v>
      </c>
      <c r="F118">
        <v>0.15885051160699501</v>
      </c>
      <c r="G118">
        <v>0.262977993979503</v>
      </c>
      <c r="H118">
        <v>0.38185815398027501</v>
      </c>
      <c r="I118">
        <v>21221.151023507799</v>
      </c>
      <c r="J118">
        <v>1115.47907901184</v>
      </c>
      <c r="K118">
        <v>-142538.12783323499</v>
      </c>
      <c r="L118">
        <v>1560.46336785376</v>
      </c>
      <c r="M118">
        <f t="shared" si="5"/>
        <v>5.2564494629728821E-2</v>
      </c>
      <c r="N118">
        <f t="shared" si="6"/>
        <v>-2.9457143941976711</v>
      </c>
      <c r="O118">
        <f t="shared" si="7"/>
        <v>-1.0947690920140692E-2</v>
      </c>
      <c r="P118">
        <f t="shared" si="8"/>
        <v>144098.59120108874</v>
      </c>
      <c r="Q118">
        <f t="shared" si="9"/>
        <v>-5.5411125800571783</v>
      </c>
    </row>
    <row r="119" spans="1:17" hidden="1" x14ac:dyDescent="0.3">
      <c r="A119">
        <v>4</v>
      </c>
      <c r="B119">
        <v>2.9219733651750199</v>
      </c>
      <c r="C119">
        <v>3.6760310078008298</v>
      </c>
      <c r="D119">
        <v>0.75405764262581298</v>
      </c>
      <c r="E119">
        <v>0.15957489387542301</v>
      </c>
      <c r="F119">
        <v>0.159288971089766</v>
      </c>
      <c r="G119">
        <v>0.25023388137524</v>
      </c>
      <c r="H119">
        <v>0.34025337936807798</v>
      </c>
      <c r="I119">
        <v>1895.5162319981</v>
      </c>
      <c r="J119">
        <v>390.195594222019</v>
      </c>
      <c r="K119">
        <v>36470.8606269058</v>
      </c>
      <c r="L119">
        <v>263.111052529924</v>
      </c>
      <c r="M119">
        <f t="shared" si="5"/>
        <v>0.20585188754131972</v>
      </c>
      <c r="N119">
        <f t="shared" si="6"/>
        <v>-1.5805983613095032</v>
      </c>
      <c r="O119">
        <f t="shared" si="7"/>
        <v>7.2142814292629545E-3</v>
      </c>
      <c r="P119">
        <f t="shared" si="8"/>
        <v>-36207.749574375877</v>
      </c>
      <c r="Q119">
        <f t="shared" si="9"/>
        <v>-2.0961240520094457</v>
      </c>
    </row>
    <row r="120" spans="1:17" hidden="1" x14ac:dyDescent="0.3">
      <c r="A120">
        <v>4</v>
      </c>
      <c r="B120">
        <v>2.8164052952074101</v>
      </c>
      <c r="C120">
        <v>3.5629223614069598</v>
      </c>
      <c r="D120">
        <v>0.74651706619955505</v>
      </c>
      <c r="E120">
        <v>0.15998252427169099</v>
      </c>
      <c r="F120">
        <v>0.159358918072492</v>
      </c>
      <c r="G120">
        <v>0.249329025105964</v>
      </c>
      <c r="H120">
        <v>0.34639856448592099</v>
      </c>
      <c r="I120">
        <v>382.57824130812298</v>
      </c>
      <c r="J120">
        <v>276.06791365955002</v>
      </c>
      <c r="K120">
        <v>1916.2398518550999</v>
      </c>
      <c r="L120">
        <v>-61.660522098960101</v>
      </c>
      <c r="M120">
        <f t="shared" si="5"/>
        <v>0.72159857475325917</v>
      </c>
      <c r="N120">
        <f t="shared" si="6"/>
        <v>-0.32628628535587995</v>
      </c>
      <c r="O120">
        <f t="shared" si="7"/>
        <v>-3.2177872743470462E-2</v>
      </c>
      <c r="P120">
        <f t="shared" si="8"/>
        <v>-1977.9003739540601</v>
      </c>
      <c r="Q120">
        <f t="shared" si="9"/>
        <v>-0.43707813274380136</v>
      </c>
    </row>
    <row r="121" spans="1:17" hidden="1" x14ac:dyDescent="0.3">
      <c r="A121">
        <v>4</v>
      </c>
      <c r="B121">
        <v>2.7221480898791799</v>
      </c>
      <c r="C121">
        <v>3.4686651560787398</v>
      </c>
      <c r="D121">
        <v>0.74651706619955505</v>
      </c>
      <c r="E121">
        <v>0.16034536873600899</v>
      </c>
      <c r="F121">
        <v>0.15921748872663199</v>
      </c>
      <c r="G121">
        <v>0.24863414678464599</v>
      </c>
      <c r="H121">
        <v>0.34708255735996402</v>
      </c>
      <c r="I121">
        <v>221.58486050176501</v>
      </c>
      <c r="J121">
        <v>285.19275225332899</v>
      </c>
      <c r="K121">
        <v>797.58288105626002</v>
      </c>
      <c r="L121">
        <v>207.408605501598</v>
      </c>
      <c r="M121">
        <f t="shared" si="5"/>
        <v>1.2870588342882627</v>
      </c>
      <c r="N121">
        <f t="shared" si="6"/>
        <v>0.25235964185681786</v>
      </c>
      <c r="O121">
        <f t="shared" si="7"/>
        <v>0.26004646091064709</v>
      </c>
      <c r="P121">
        <f t="shared" si="8"/>
        <v>-590.17427555466202</v>
      </c>
      <c r="Q121">
        <f t="shared" si="9"/>
        <v>0.33804939402330658</v>
      </c>
    </row>
    <row r="122" spans="1:17" hidden="1" x14ac:dyDescent="0.3">
      <c r="A122">
        <v>4</v>
      </c>
      <c r="B122">
        <v>3.0011494176507298</v>
      </c>
      <c r="C122">
        <v>3.5139086146362799</v>
      </c>
      <c r="D122">
        <v>0.51275919698555195</v>
      </c>
      <c r="E122">
        <v>0.15946201697970799</v>
      </c>
      <c r="F122">
        <v>0.15884359659160299</v>
      </c>
      <c r="G122">
        <v>0.26531083939984501</v>
      </c>
      <c r="H122">
        <v>0.38250193453053599</v>
      </c>
      <c r="I122">
        <v>233.86399321698801</v>
      </c>
      <c r="J122">
        <v>630.20777159724901</v>
      </c>
      <c r="K122">
        <v>714.01816955370498</v>
      </c>
      <c r="L122">
        <v>338.68755264041698</v>
      </c>
      <c r="M122">
        <f t="shared" si="5"/>
        <v>2.6947618696158924</v>
      </c>
      <c r="N122">
        <f t="shared" si="6"/>
        <v>0.9913098403886651</v>
      </c>
      <c r="O122">
        <f t="shared" si="7"/>
        <v>0.4743402438233647</v>
      </c>
      <c r="P122">
        <f t="shared" si="8"/>
        <v>-375.330616913288</v>
      </c>
      <c r="Q122">
        <f t="shared" si="9"/>
        <v>1.9332853437177859</v>
      </c>
    </row>
    <row r="123" spans="1:17" hidden="1" x14ac:dyDescent="0.3">
      <c r="A123">
        <v>4</v>
      </c>
      <c r="B123">
        <v>2.6392017491903399</v>
      </c>
      <c r="C123">
        <v>3.3894891036030201</v>
      </c>
      <c r="D123">
        <v>0.75028735441268402</v>
      </c>
      <c r="E123">
        <v>0.16006146628520301</v>
      </c>
      <c r="F123">
        <v>0.159089799561732</v>
      </c>
      <c r="G123">
        <v>0.24924100173024899</v>
      </c>
      <c r="H123">
        <v>0.34381584780198399</v>
      </c>
      <c r="I123">
        <v>169.416895647996</v>
      </c>
      <c r="J123">
        <v>282.87700169623997</v>
      </c>
      <c r="K123">
        <v>547.41570207542998</v>
      </c>
      <c r="L123">
        <v>307.75769260144898</v>
      </c>
      <c r="M123">
        <f t="shared" si="5"/>
        <v>1.6697095092804934</v>
      </c>
      <c r="N123">
        <f t="shared" si="6"/>
        <v>0.51264966475958329</v>
      </c>
      <c r="O123">
        <f t="shared" si="7"/>
        <v>0.56220106846522677</v>
      </c>
      <c r="P123">
        <f t="shared" si="8"/>
        <v>-239.658009473981</v>
      </c>
      <c r="Q123">
        <f t="shared" si="9"/>
        <v>0.68327109839253775</v>
      </c>
    </row>
    <row r="124" spans="1:17" hidden="1" x14ac:dyDescent="0.3">
      <c r="A124">
        <v>4</v>
      </c>
      <c r="B124">
        <v>2.8880407712568599</v>
      </c>
      <c r="C124">
        <v>3.4309622739474399</v>
      </c>
      <c r="D124">
        <v>0.54292150269058503</v>
      </c>
      <c r="E124">
        <v>0.159493965081759</v>
      </c>
      <c r="F124">
        <v>0.15834299979112401</v>
      </c>
      <c r="G124">
        <v>0.26337248309870698</v>
      </c>
      <c r="H124">
        <v>0.380633343047388</v>
      </c>
      <c r="I124">
        <v>191.134825649053</v>
      </c>
      <c r="J124">
        <v>561.56602052108497</v>
      </c>
      <c r="K124">
        <v>562.73621567373903</v>
      </c>
      <c r="L124">
        <v>328.28085180054001</v>
      </c>
      <c r="M124">
        <f t="shared" si="5"/>
        <v>2.9380622741780669</v>
      </c>
      <c r="N124">
        <f t="shared" si="6"/>
        <v>1.0777502736393951</v>
      </c>
      <c r="O124">
        <f t="shared" si="7"/>
        <v>0.58336542532188718</v>
      </c>
      <c r="P124">
        <f t="shared" si="8"/>
        <v>-234.45536387319902</v>
      </c>
      <c r="Q124">
        <f t="shared" si="9"/>
        <v>1.9850941034723077</v>
      </c>
    </row>
    <row r="125" spans="1:17" hidden="1" x14ac:dyDescent="0.3">
      <c r="A125">
        <v>4</v>
      </c>
      <c r="B125">
        <v>2.56002569671463</v>
      </c>
      <c r="C125">
        <v>3.3178536275535699</v>
      </c>
      <c r="D125">
        <v>0.75782793083894195</v>
      </c>
      <c r="E125">
        <v>0.16006617774970799</v>
      </c>
      <c r="F125">
        <v>0.15850916620590899</v>
      </c>
      <c r="G125">
        <v>0.24937101350952501</v>
      </c>
      <c r="H125">
        <v>0.337597739829885</v>
      </c>
      <c r="I125">
        <v>144.42884722062399</v>
      </c>
      <c r="J125">
        <v>282.44345433097197</v>
      </c>
      <c r="K125">
        <v>447.56145398493999</v>
      </c>
      <c r="L125">
        <v>347.57096732155799</v>
      </c>
      <c r="M125">
        <f t="shared" si="5"/>
        <v>1.9555889267711328</v>
      </c>
      <c r="N125">
        <f t="shared" si="6"/>
        <v>0.67069138938843165</v>
      </c>
      <c r="O125">
        <f t="shared" si="7"/>
        <v>0.77658825224312866</v>
      </c>
      <c r="P125">
        <f t="shared" si="8"/>
        <v>-99.990486663382001</v>
      </c>
      <c r="Q125">
        <f t="shared" si="9"/>
        <v>0.88501803918200095</v>
      </c>
    </row>
    <row r="126" spans="1:17" hidden="1" x14ac:dyDescent="0.3">
      <c r="A126">
        <v>4</v>
      </c>
      <c r="B126">
        <v>2.7711618366498598</v>
      </c>
      <c r="C126">
        <v>3.35178622147173</v>
      </c>
      <c r="D126">
        <v>0.58062438482187595</v>
      </c>
      <c r="E126">
        <v>0.159990752267789</v>
      </c>
      <c r="F126">
        <v>0.15892894859621301</v>
      </c>
      <c r="G126">
        <v>0.26052624971473398</v>
      </c>
      <c r="H126">
        <v>0.37602575672495397</v>
      </c>
      <c r="I126">
        <v>164.209093428513</v>
      </c>
      <c r="J126">
        <v>548.58947769010103</v>
      </c>
      <c r="K126">
        <v>480.14736266356101</v>
      </c>
      <c r="L126">
        <v>366.04574689142999</v>
      </c>
      <c r="M126">
        <f t="shared" si="5"/>
        <v>3.3407984066907033</v>
      </c>
      <c r="N126">
        <f t="shared" si="6"/>
        <v>1.2062098223415358</v>
      </c>
      <c r="O126">
        <f t="shared" si="7"/>
        <v>0.7623612568875402</v>
      </c>
      <c r="P126">
        <f t="shared" si="8"/>
        <v>-114.10161577213103</v>
      </c>
      <c r="Q126">
        <f t="shared" si="9"/>
        <v>2.0774356948711157</v>
      </c>
    </row>
    <row r="127" spans="1:17" hidden="1" x14ac:dyDescent="0.3">
      <c r="A127">
        <v>4</v>
      </c>
      <c r="B127">
        <v>2.4846199324520502</v>
      </c>
      <c r="C127">
        <v>3.2537587279303799</v>
      </c>
      <c r="D127">
        <v>0.76913879547832897</v>
      </c>
      <c r="E127">
        <v>0.15960531266457501</v>
      </c>
      <c r="F127">
        <v>0.159182051604875</v>
      </c>
      <c r="G127">
        <v>0.25041725089627098</v>
      </c>
      <c r="H127">
        <v>0.32839959862984303</v>
      </c>
      <c r="I127">
        <v>129.977480412587</v>
      </c>
      <c r="J127">
        <v>285.66313653387698</v>
      </c>
      <c r="K127">
        <v>399.946672444988</v>
      </c>
      <c r="L127">
        <v>380.38063197524298</v>
      </c>
      <c r="M127">
        <f t="shared" si="5"/>
        <v>2.1977894603518826</v>
      </c>
      <c r="N127">
        <f t="shared" si="6"/>
        <v>0.787452064474499</v>
      </c>
      <c r="O127">
        <f t="shared" si="7"/>
        <v>0.95107837664923611</v>
      </c>
      <c r="P127">
        <f t="shared" si="8"/>
        <v>-19.566040469745019</v>
      </c>
      <c r="Q127">
        <f t="shared" si="9"/>
        <v>1.0238100965701258</v>
      </c>
    </row>
    <row r="128" spans="1:17" hidden="1" x14ac:dyDescent="0.3">
      <c r="A128">
        <v>4</v>
      </c>
      <c r="B128">
        <v>2.6580531902559899</v>
      </c>
      <c r="C128">
        <v>3.26883988078289</v>
      </c>
      <c r="D128">
        <v>0.61078669052690804</v>
      </c>
      <c r="E128">
        <v>0.16001592360198799</v>
      </c>
      <c r="F128">
        <v>0.15864647312490601</v>
      </c>
      <c r="G128">
        <v>0.25896362028686798</v>
      </c>
      <c r="H128">
        <v>0.36875872526060199</v>
      </c>
      <c r="I128">
        <v>145.199993481484</v>
      </c>
      <c r="J128">
        <v>545.80132454403497</v>
      </c>
      <c r="K128">
        <v>427.40232981819798</v>
      </c>
      <c r="L128">
        <v>382.93024991750298</v>
      </c>
      <c r="M128">
        <f t="shared" si="5"/>
        <v>3.758962459000633</v>
      </c>
      <c r="N128">
        <f t="shared" si="6"/>
        <v>1.3241429775677209</v>
      </c>
      <c r="O128">
        <f t="shared" si="7"/>
        <v>0.89594797033602536</v>
      </c>
      <c r="P128">
        <f t="shared" si="8"/>
        <v>-44.472079900695007</v>
      </c>
      <c r="Q128">
        <f t="shared" si="9"/>
        <v>2.1679303071018756</v>
      </c>
    </row>
    <row r="129" spans="1:17" hidden="1" x14ac:dyDescent="0.3">
      <c r="A129">
        <v>4</v>
      </c>
      <c r="B129">
        <v>2.4054438799763398</v>
      </c>
      <c r="C129">
        <v>3.1858935400940598</v>
      </c>
      <c r="D129">
        <v>0.78044966011771599</v>
      </c>
      <c r="E129">
        <v>0.16009664324081699</v>
      </c>
      <c r="F129">
        <v>0.15853620567139801</v>
      </c>
      <c r="G129">
        <v>0.249691937257773</v>
      </c>
      <c r="H129">
        <v>0.31837802765316803</v>
      </c>
      <c r="I129">
        <v>117.732370476865</v>
      </c>
      <c r="J129">
        <v>286.662899566014</v>
      </c>
      <c r="K129">
        <v>357.48214489380803</v>
      </c>
      <c r="L129">
        <v>389.69586625975302</v>
      </c>
      <c r="M129">
        <f t="shared" si="5"/>
        <v>2.4348690033582963</v>
      </c>
      <c r="N129">
        <f t="shared" si="6"/>
        <v>0.88989295769863164</v>
      </c>
      <c r="O129">
        <f t="shared" si="7"/>
        <v>1.0901128121392307</v>
      </c>
      <c r="P129">
        <f t="shared" si="8"/>
        <v>32.213721365944991</v>
      </c>
      <c r="Q129">
        <f t="shared" si="9"/>
        <v>1.1402310785354224</v>
      </c>
    </row>
    <row r="130" spans="1:17" hidden="1" x14ac:dyDescent="0.3">
      <c r="A130">
        <v>4</v>
      </c>
      <c r="B130">
        <v>2.5487148320752402</v>
      </c>
      <c r="C130">
        <v>3.1858935400940598</v>
      </c>
      <c r="D130">
        <v>0.63717870801881205</v>
      </c>
      <c r="E130">
        <v>0.15977668870911799</v>
      </c>
      <c r="F130">
        <v>0.15876783917217499</v>
      </c>
      <c r="G130">
        <v>0.258241963633419</v>
      </c>
      <c r="H130">
        <v>0.35943805678823099</v>
      </c>
      <c r="I130">
        <v>129.692367435856</v>
      </c>
      <c r="J130">
        <v>536.57539400031203</v>
      </c>
      <c r="K130">
        <v>384.99802858238201</v>
      </c>
      <c r="L130">
        <v>376.88712510541598</v>
      </c>
      <c r="M130">
        <f t="shared" si="5"/>
        <v>4.1372935401591358</v>
      </c>
      <c r="N130">
        <f t="shared" si="6"/>
        <v>1.4200418397987284</v>
      </c>
      <c r="O130">
        <f t="shared" si="7"/>
        <v>0.97893261036470358</v>
      </c>
      <c r="P130">
        <f t="shared" si="8"/>
        <v>-8.1109034769660298</v>
      </c>
      <c r="Q130">
        <f t="shared" si="9"/>
        <v>2.2286398178841633</v>
      </c>
    </row>
    <row r="131" spans="1:17" hidden="1" x14ac:dyDescent="0.3">
      <c r="A131">
        <v>4</v>
      </c>
      <c r="B131">
        <v>2.3262678275006299</v>
      </c>
      <c r="C131">
        <v>3.1180283522577299</v>
      </c>
      <c r="D131">
        <v>0.79176052475710301</v>
      </c>
      <c r="E131">
        <v>0.16035890415687501</v>
      </c>
      <c r="F131">
        <v>0.158480126796676</v>
      </c>
      <c r="G131">
        <v>0.24940407817777999</v>
      </c>
      <c r="H131">
        <v>0.30754330541858299</v>
      </c>
      <c r="I131">
        <v>107.297541635038</v>
      </c>
      <c r="J131">
        <v>285.73272942710003</v>
      </c>
      <c r="K131">
        <v>323.19837398408498</v>
      </c>
      <c r="L131">
        <v>387.42193263292</v>
      </c>
      <c r="M131">
        <f t="shared" ref="M131:M194" si="10">J131/I131</f>
        <v>2.6629941848900107</v>
      </c>
      <c r="N131">
        <f t="shared" ref="N131:N194" si="11">LN(M131)</f>
        <v>0.97945112316062044</v>
      </c>
      <c r="O131">
        <f t="shared" ref="O131:O194" si="12">L131/K131</f>
        <v>1.1987125054410006</v>
      </c>
      <c r="P131">
        <f t="shared" ref="P131:P194" si="13">L131-K131</f>
        <v>64.223558648835024</v>
      </c>
      <c r="Q131">
        <f t="shared" ref="Q131:Q194" si="14">N131/(C131-B131)</f>
        <v>1.2370547565011543</v>
      </c>
    </row>
    <row r="132" spans="1:17" hidden="1" x14ac:dyDescent="0.3">
      <c r="A132">
        <v>4</v>
      </c>
      <c r="B132">
        <v>2.4393764738944999</v>
      </c>
      <c r="C132">
        <v>3.1029471994052198</v>
      </c>
      <c r="D132">
        <v>0.66357072551071505</v>
      </c>
      <c r="E132">
        <v>0.16015615490784399</v>
      </c>
      <c r="F132">
        <v>0.15926531163868901</v>
      </c>
      <c r="G132">
        <v>0.25653228070717898</v>
      </c>
      <c r="H132">
        <v>0.348822046688538</v>
      </c>
      <c r="I132">
        <v>114.785480120534</v>
      </c>
      <c r="J132">
        <v>515.22184877996597</v>
      </c>
      <c r="K132">
        <v>339.16460762866001</v>
      </c>
      <c r="L132">
        <v>351.56503021719499</v>
      </c>
      <c r="M132">
        <f t="shared" si="10"/>
        <v>4.4885629109094767</v>
      </c>
      <c r="N132">
        <f t="shared" si="11"/>
        <v>1.5015325861372084</v>
      </c>
      <c r="O132">
        <f t="shared" si="12"/>
        <v>1.0365616644827276</v>
      </c>
      <c r="P132">
        <f t="shared" si="13"/>
        <v>12.40042258853498</v>
      </c>
      <c r="Q132">
        <f t="shared" si="14"/>
        <v>2.2628071559087357</v>
      </c>
    </row>
    <row r="133" spans="1:17" hidden="1" x14ac:dyDescent="0.3">
      <c r="A133">
        <v>4</v>
      </c>
      <c r="B133">
        <v>2.24709177502492</v>
      </c>
      <c r="C133">
        <v>3.0501631644214098</v>
      </c>
      <c r="D133">
        <v>0.80307138939649003</v>
      </c>
      <c r="E133">
        <v>0.16029520574036199</v>
      </c>
      <c r="F133">
        <v>0.159248982646539</v>
      </c>
      <c r="G133">
        <v>0.249727075061351</v>
      </c>
      <c r="H133">
        <v>0.29629860098205202</v>
      </c>
      <c r="I133">
        <v>97.765477529542196</v>
      </c>
      <c r="J133">
        <v>282.36857175498801</v>
      </c>
      <c r="K133">
        <v>293.05591107628402</v>
      </c>
      <c r="L133">
        <v>375.44972778589897</v>
      </c>
      <c r="M133">
        <f t="shared" si="10"/>
        <v>2.8882237256976886</v>
      </c>
      <c r="N133">
        <f t="shared" si="11"/>
        <v>1.0606416853769849</v>
      </c>
      <c r="O133">
        <f t="shared" si="12"/>
        <v>1.2811539149884863</v>
      </c>
      <c r="P133">
        <f t="shared" si="13"/>
        <v>82.393816709614953</v>
      </c>
      <c r="Q133">
        <f t="shared" si="14"/>
        <v>1.3207315057931024</v>
      </c>
    </row>
    <row r="134" spans="1:17" hidden="1" x14ac:dyDescent="0.3">
      <c r="A134">
        <v>4</v>
      </c>
      <c r="B134">
        <v>2.33380840392689</v>
      </c>
      <c r="C134">
        <v>3.0162305705032502</v>
      </c>
      <c r="D134">
        <v>0.68242216657636101</v>
      </c>
      <c r="E134">
        <v>0.160259875411155</v>
      </c>
      <c r="F134">
        <v>0.15888020382596599</v>
      </c>
      <c r="G134">
        <v>0.25558814097415899</v>
      </c>
      <c r="H134">
        <v>0.33851890545088797</v>
      </c>
      <c r="I134">
        <v>101.451953989858</v>
      </c>
      <c r="J134">
        <v>481.74511073189598</v>
      </c>
      <c r="K134">
        <v>297.786716618784</v>
      </c>
      <c r="L134">
        <v>305.61405622885701</v>
      </c>
      <c r="M134">
        <f t="shared" si="10"/>
        <v>4.7485049995198247</v>
      </c>
      <c r="N134">
        <f t="shared" si="11"/>
        <v>1.5578298315632884</v>
      </c>
      <c r="O134">
        <f t="shared" si="12"/>
        <v>1.0262850529363716</v>
      </c>
      <c r="P134">
        <f t="shared" si="13"/>
        <v>7.827339610073011</v>
      </c>
      <c r="Q134">
        <f t="shared" si="14"/>
        <v>2.2827948854281157</v>
      </c>
    </row>
    <row r="135" spans="1:17" hidden="1" x14ac:dyDescent="0.3">
      <c r="A135">
        <v>4</v>
      </c>
      <c r="B135">
        <v>2.1679157225492101</v>
      </c>
      <c r="C135">
        <v>2.9747574001588299</v>
      </c>
      <c r="D135">
        <v>0.806841677609619</v>
      </c>
      <c r="E135">
        <v>0.15988187736829301</v>
      </c>
      <c r="F135">
        <v>0.15875120553476599</v>
      </c>
      <c r="G135">
        <v>0.25070336026609802</v>
      </c>
      <c r="H135">
        <v>0.28706094933826898</v>
      </c>
      <c r="I135">
        <v>88.730695902766399</v>
      </c>
      <c r="J135">
        <v>273.636193471534</v>
      </c>
      <c r="K135">
        <v>265.22028005726401</v>
      </c>
      <c r="L135">
        <v>334.34028991419598</v>
      </c>
      <c r="M135">
        <f t="shared" si="10"/>
        <v>3.0838954962259315</v>
      </c>
      <c r="N135">
        <f t="shared" si="11"/>
        <v>1.1261935693376897</v>
      </c>
      <c r="O135">
        <f t="shared" si="12"/>
        <v>1.2606135919998585</v>
      </c>
      <c r="P135">
        <f t="shared" si="13"/>
        <v>69.120009856931972</v>
      </c>
      <c r="Q135">
        <f t="shared" si="14"/>
        <v>1.3958049027340704</v>
      </c>
    </row>
    <row r="136" spans="1:17" hidden="1" x14ac:dyDescent="0.3">
      <c r="A136">
        <v>4</v>
      </c>
      <c r="B136">
        <v>2.2320106221724001</v>
      </c>
      <c r="C136">
        <v>2.9295139416012801</v>
      </c>
      <c r="D136">
        <v>0.697503319428876</v>
      </c>
      <c r="E136">
        <v>0.16000085505558501</v>
      </c>
      <c r="F136">
        <v>0.15878461209320899</v>
      </c>
      <c r="G136">
        <v>0.255520698735615</v>
      </c>
      <c r="H136">
        <v>0.32850528062773598</v>
      </c>
      <c r="I136">
        <v>89.415256457004105</v>
      </c>
      <c r="J136">
        <v>441.61853912936198</v>
      </c>
      <c r="K136">
        <v>260.754007339471</v>
      </c>
      <c r="L136">
        <v>263.440041227265</v>
      </c>
      <c r="M136">
        <f t="shared" si="10"/>
        <v>4.9389618352402431</v>
      </c>
      <c r="N136">
        <f t="shared" si="11"/>
        <v>1.5971551543045475</v>
      </c>
      <c r="O136">
        <f t="shared" si="12"/>
        <v>1.0103010263013794</v>
      </c>
      <c r="P136">
        <f t="shared" si="13"/>
        <v>2.6860338877939967</v>
      </c>
      <c r="Q136">
        <f t="shared" si="14"/>
        <v>2.2898172808873625</v>
      </c>
    </row>
    <row r="137" spans="1:17" hidden="1" x14ac:dyDescent="0.3">
      <c r="A137">
        <v>4</v>
      </c>
      <c r="B137">
        <v>2.0849693818603701</v>
      </c>
      <c r="C137">
        <v>2.8993516358962501</v>
      </c>
      <c r="D137">
        <v>0.81438225403587805</v>
      </c>
      <c r="E137">
        <v>0.16007100308883901</v>
      </c>
      <c r="F137">
        <v>0.159135041968097</v>
      </c>
      <c r="G137">
        <v>0.25052600141068099</v>
      </c>
      <c r="H137">
        <v>0.27819863991455701</v>
      </c>
      <c r="I137">
        <v>79.135472187135406</v>
      </c>
      <c r="J137">
        <v>262.81380731231297</v>
      </c>
      <c r="K137">
        <v>232.80833438350899</v>
      </c>
      <c r="L137">
        <v>288.29821831032802</v>
      </c>
      <c r="M137">
        <f t="shared" si="10"/>
        <v>3.3210619719412895</v>
      </c>
      <c r="N137">
        <f t="shared" si="11"/>
        <v>1.2002846028472078</v>
      </c>
      <c r="O137">
        <f t="shared" si="12"/>
        <v>1.2383500748534613</v>
      </c>
      <c r="P137">
        <f t="shared" si="13"/>
        <v>55.489883926819033</v>
      </c>
      <c r="Q137">
        <f t="shared" si="14"/>
        <v>1.473858985628542</v>
      </c>
    </row>
    <row r="138" spans="1:17" hidden="1" x14ac:dyDescent="0.3">
      <c r="A138">
        <v>4</v>
      </c>
      <c r="B138">
        <v>2.1302128404179199</v>
      </c>
      <c r="C138">
        <v>2.84279731269931</v>
      </c>
      <c r="D138">
        <v>0.71258447228139299</v>
      </c>
      <c r="E138">
        <v>0.160179801064122</v>
      </c>
      <c r="F138">
        <v>0.15892966050693699</v>
      </c>
      <c r="G138">
        <v>0.25470710215734799</v>
      </c>
      <c r="H138">
        <v>0.31909909310519002</v>
      </c>
      <c r="I138">
        <v>77.677094327968305</v>
      </c>
      <c r="J138">
        <v>398.51074070436403</v>
      </c>
      <c r="K138">
        <v>222.907345766611</v>
      </c>
      <c r="L138">
        <v>229.01317185546401</v>
      </c>
      <c r="M138">
        <f t="shared" si="10"/>
        <v>5.1303507700966717</v>
      </c>
      <c r="N138">
        <f t="shared" si="11"/>
        <v>1.6351740330822977</v>
      </c>
      <c r="O138">
        <f t="shared" si="12"/>
        <v>1.0273917670494626</v>
      </c>
      <c r="P138">
        <f t="shared" si="13"/>
        <v>6.1058260888530071</v>
      </c>
      <c r="Q138">
        <f t="shared" si="14"/>
        <v>2.2947090438936613</v>
      </c>
    </row>
    <row r="139" spans="1:17" hidden="1" x14ac:dyDescent="0.3">
      <c r="A139">
        <v>4</v>
      </c>
      <c r="B139">
        <v>2.0020230411715301</v>
      </c>
      <c r="C139">
        <v>2.8201755834205402</v>
      </c>
      <c r="D139">
        <v>0.81815254224900702</v>
      </c>
      <c r="E139">
        <v>0.15994866609043601</v>
      </c>
      <c r="F139">
        <v>0.15925905559386799</v>
      </c>
      <c r="G139">
        <v>0.25092387905757602</v>
      </c>
      <c r="H139">
        <v>0.27098442915061799</v>
      </c>
      <c r="I139">
        <v>70.013337607164203</v>
      </c>
      <c r="J139">
        <v>249.01659957727</v>
      </c>
      <c r="K139">
        <v>203.128225237061</v>
      </c>
      <c r="L139">
        <v>231.21782624176799</v>
      </c>
      <c r="M139">
        <f t="shared" si="10"/>
        <v>3.5567023097009027</v>
      </c>
      <c r="N139">
        <f t="shared" si="11"/>
        <v>1.2688337980670068</v>
      </c>
      <c r="O139">
        <f t="shared" si="12"/>
        <v>1.1382850707818915</v>
      </c>
      <c r="P139">
        <f t="shared" si="13"/>
        <v>28.089601004706992</v>
      </c>
      <c r="Q139">
        <f t="shared" si="14"/>
        <v>1.5508523564311421</v>
      </c>
    </row>
    <row r="140" spans="1:17" hidden="1" x14ac:dyDescent="0.3">
      <c r="A140">
        <v>4</v>
      </c>
      <c r="B140">
        <v>2.0321853468765601</v>
      </c>
      <c r="C140">
        <v>2.7560806837973399</v>
      </c>
      <c r="D140">
        <v>0.72389533692078001</v>
      </c>
      <c r="E140">
        <v>0.15984248064602599</v>
      </c>
      <c r="F140">
        <v>0.15927122745078701</v>
      </c>
      <c r="G140">
        <v>0.25500249153248999</v>
      </c>
      <c r="H140">
        <v>0.31046004124110299</v>
      </c>
      <c r="I140">
        <v>67.200406546858702</v>
      </c>
      <c r="J140">
        <v>354.91351797142698</v>
      </c>
      <c r="K140">
        <v>190.72306405283501</v>
      </c>
      <c r="L140">
        <v>202.04218991432501</v>
      </c>
      <c r="M140">
        <f t="shared" si="10"/>
        <v>5.281419208735687</v>
      </c>
      <c r="N140">
        <f t="shared" si="11"/>
        <v>1.6641948511340094</v>
      </c>
      <c r="O140">
        <f t="shared" si="12"/>
        <v>1.059348490009338</v>
      </c>
      <c r="P140">
        <f t="shared" si="13"/>
        <v>11.319125861489994</v>
      </c>
      <c r="Q140">
        <f t="shared" si="14"/>
        <v>2.2989440133886814</v>
      </c>
    </row>
    <row r="141" spans="1:17" hidden="1" x14ac:dyDescent="0.3">
      <c r="A141">
        <v>4</v>
      </c>
      <c r="B141">
        <v>1.9190767004826901</v>
      </c>
      <c r="C141">
        <v>2.7372292427317002</v>
      </c>
      <c r="D141">
        <v>0.81815254224900702</v>
      </c>
      <c r="E141">
        <v>0.15954906534457</v>
      </c>
      <c r="F141">
        <v>0.159041793745618</v>
      </c>
      <c r="G141">
        <v>0.251834738390741</v>
      </c>
      <c r="H141">
        <v>0.26560414470176502</v>
      </c>
      <c r="I141">
        <v>61.340299697350297</v>
      </c>
      <c r="J141">
        <v>232.85826241843699</v>
      </c>
      <c r="K141">
        <v>175.92836769984399</v>
      </c>
      <c r="L141">
        <v>169.474826558752</v>
      </c>
      <c r="M141">
        <f t="shared" si="10"/>
        <v>3.7961709278785234</v>
      </c>
      <c r="N141">
        <f t="shared" si="11"/>
        <v>1.3339929081529325</v>
      </c>
      <c r="O141">
        <f t="shared" si="12"/>
        <v>0.96331722265449227</v>
      </c>
      <c r="P141">
        <f t="shared" si="13"/>
        <v>-6.4535411410919892</v>
      </c>
      <c r="Q141">
        <f t="shared" si="14"/>
        <v>1.6304941184756754</v>
      </c>
    </row>
    <row r="142" spans="1:17" hidden="1" x14ac:dyDescent="0.3">
      <c r="A142">
        <v>4</v>
      </c>
      <c r="B142">
        <v>1.93415785333521</v>
      </c>
      <c r="C142">
        <v>2.6655937666822398</v>
      </c>
      <c r="D142">
        <v>0.73143591334703795</v>
      </c>
      <c r="E142">
        <v>0.15980693937909099</v>
      </c>
      <c r="F142">
        <v>0.15867164871113701</v>
      </c>
      <c r="G142">
        <v>0.25477354552220699</v>
      </c>
      <c r="H142">
        <v>0.30397470795860998</v>
      </c>
      <c r="I142">
        <v>57.226819141735199</v>
      </c>
      <c r="J142">
        <v>311.50886920556297</v>
      </c>
      <c r="K142">
        <v>159.86454632713401</v>
      </c>
      <c r="L142">
        <v>172.57123403312099</v>
      </c>
      <c r="M142">
        <f t="shared" si="10"/>
        <v>5.4434070227464613</v>
      </c>
      <c r="N142">
        <f t="shared" si="11"/>
        <v>1.6944051557755644</v>
      </c>
      <c r="O142">
        <f t="shared" si="12"/>
        <v>1.0794840882354555</v>
      </c>
      <c r="P142">
        <f t="shared" si="13"/>
        <v>12.70668770598698</v>
      </c>
      <c r="Q142">
        <f t="shared" si="14"/>
        <v>2.3165462959318126</v>
      </c>
    </row>
    <row r="143" spans="1:17" hidden="1" x14ac:dyDescent="0.3">
      <c r="A143">
        <v>4</v>
      </c>
      <c r="B143">
        <v>1.83236007158072</v>
      </c>
      <c r="C143">
        <v>2.6542829020428602</v>
      </c>
      <c r="D143">
        <v>0.82192283046213599</v>
      </c>
      <c r="E143">
        <v>0.159852883698724</v>
      </c>
      <c r="F143">
        <v>0.15933254120835999</v>
      </c>
      <c r="G143">
        <v>0.25138975956980802</v>
      </c>
      <c r="H143">
        <v>0.26071853841411902</v>
      </c>
      <c r="I143">
        <v>52.555195792670197</v>
      </c>
      <c r="J143">
        <v>215.362842720526</v>
      </c>
      <c r="K143">
        <v>147.341038123814</v>
      </c>
      <c r="L143">
        <v>120.158312681692</v>
      </c>
      <c r="M143">
        <f t="shared" si="10"/>
        <v>4.0978411263109091</v>
      </c>
      <c r="N143">
        <f t="shared" si="11"/>
        <v>1.4104602804734125</v>
      </c>
      <c r="O143">
        <f t="shared" si="12"/>
        <v>0.81551151133277788</v>
      </c>
      <c r="P143">
        <f t="shared" si="13"/>
        <v>-27.182725442122006</v>
      </c>
      <c r="Q143">
        <f t="shared" si="14"/>
        <v>1.7160495221678622</v>
      </c>
    </row>
    <row r="144" spans="1:17" hidden="1" x14ac:dyDescent="0.3">
      <c r="A144">
        <v>4</v>
      </c>
      <c r="B144">
        <v>1.8361303597938501</v>
      </c>
      <c r="C144">
        <v>2.5788771377802799</v>
      </c>
      <c r="D144">
        <v>0.74274677798642497</v>
      </c>
      <c r="E144">
        <v>0.159998080378011</v>
      </c>
      <c r="F144">
        <v>0.15929846961647101</v>
      </c>
      <c r="G144">
        <v>0.25415109175442002</v>
      </c>
      <c r="H144">
        <v>0.29683341851098599</v>
      </c>
      <c r="I144">
        <v>47.9174760043094</v>
      </c>
      <c r="J144">
        <v>270.545798317623</v>
      </c>
      <c r="K144">
        <v>131.41962118403299</v>
      </c>
      <c r="L144">
        <v>155.18268567814499</v>
      </c>
      <c r="M144">
        <f t="shared" si="10"/>
        <v>5.6460778170638992</v>
      </c>
      <c r="N144">
        <f t="shared" si="11"/>
        <v>1.730961112425637</v>
      </c>
      <c r="O144">
        <f t="shared" si="12"/>
        <v>1.180818239164116</v>
      </c>
      <c r="P144">
        <f t="shared" si="13"/>
        <v>23.763064494112001</v>
      </c>
      <c r="Q144">
        <f t="shared" si="14"/>
        <v>2.3304861949293598</v>
      </c>
    </row>
    <row r="145" spans="1:17" hidden="1" x14ac:dyDescent="0.3">
      <c r="A145">
        <v>4</v>
      </c>
      <c r="B145">
        <v>1.7456434426787499</v>
      </c>
      <c r="C145">
        <v>2.5675662731408901</v>
      </c>
      <c r="D145">
        <v>0.82192283046213599</v>
      </c>
      <c r="E145">
        <v>0.15997798906938299</v>
      </c>
      <c r="F145">
        <v>0.15904913556332501</v>
      </c>
      <c r="G145">
        <v>0.25127295387898302</v>
      </c>
      <c r="H145">
        <v>0.25767660625028799</v>
      </c>
      <c r="I145">
        <v>44.407329714000298</v>
      </c>
      <c r="J145">
        <v>196.09499628393601</v>
      </c>
      <c r="K145">
        <v>122.099415214307</v>
      </c>
      <c r="L145">
        <v>76.227644243741096</v>
      </c>
      <c r="M145">
        <f t="shared" si="10"/>
        <v>4.4158249898577697</v>
      </c>
      <c r="N145">
        <f t="shared" si="11"/>
        <v>1.4851946772695794</v>
      </c>
      <c r="O145">
        <f t="shared" si="12"/>
        <v>0.62430802072186442</v>
      </c>
      <c r="P145">
        <f t="shared" si="13"/>
        <v>-45.871770970565905</v>
      </c>
      <c r="Q145">
        <f t="shared" si="14"/>
        <v>1.8069758160075724</v>
      </c>
    </row>
    <row r="146" spans="1:17" hidden="1" x14ac:dyDescent="0.3">
      <c r="A146">
        <v>4</v>
      </c>
      <c r="B146">
        <v>1.73810286625249</v>
      </c>
      <c r="C146">
        <v>2.4883902206651798</v>
      </c>
      <c r="D146">
        <v>0.75028735441268402</v>
      </c>
      <c r="E146">
        <v>0.160311891893408</v>
      </c>
      <c r="F146">
        <v>0.15892287099192501</v>
      </c>
      <c r="G146">
        <v>0.25331984777277999</v>
      </c>
      <c r="H146">
        <v>0.29152795933633002</v>
      </c>
      <c r="I146">
        <v>39.396036766041</v>
      </c>
      <c r="J146">
        <v>231.089633022963</v>
      </c>
      <c r="K146">
        <v>106.036406171813</v>
      </c>
      <c r="L146">
        <v>133.22099104242201</v>
      </c>
      <c r="M146">
        <f t="shared" si="10"/>
        <v>5.8658091522079197</v>
      </c>
      <c r="N146">
        <f t="shared" si="11"/>
        <v>1.7691404354552382</v>
      </c>
      <c r="O146">
        <f t="shared" si="12"/>
        <v>1.2563702963165431</v>
      </c>
      <c r="P146">
        <f t="shared" si="13"/>
        <v>27.184584870609015</v>
      </c>
      <c r="Q146">
        <f t="shared" si="14"/>
        <v>2.3579504906358002</v>
      </c>
    </row>
    <row r="147" spans="1:17" hidden="1" x14ac:dyDescent="0.3">
      <c r="A147">
        <v>4</v>
      </c>
      <c r="B147">
        <v>1.6589268137767801</v>
      </c>
      <c r="C147">
        <v>2.4808496442389201</v>
      </c>
      <c r="D147">
        <v>0.82192283046213599</v>
      </c>
      <c r="E147">
        <v>0.160013355154727</v>
      </c>
      <c r="F147">
        <v>0.15900480984424101</v>
      </c>
      <c r="G147">
        <v>0.25132206590903</v>
      </c>
      <c r="H147">
        <v>0.25496001564396797</v>
      </c>
      <c r="I147">
        <v>36.891792908383302</v>
      </c>
      <c r="J147">
        <v>175.93875992475401</v>
      </c>
      <c r="K147">
        <v>99.741250517580795</v>
      </c>
      <c r="L147">
        <v>47.612901925663003</v>
      </c>
      <c r="M147">
        <f t="shared" si="10"/>
        <v>4.7690487789975</v>
      </c>
      <c r="N147">
        <f t="shared" si="11"/>
        <v>1.5621468676130128</v>
      </c>
      <c r="O147">
        <f t="shared" si="12"/>
        <v>0.47736419664470281</v>
      </c>
      <c r="P147">
        <f t="shared" si="13"/>
        <v>-52.128348591917792</v>
      </c>
      <c r="Q147">
        <f t="shared" si="14"/>
        <v>1.9006004088421165</v>
      </c>
    </row>
    <row r="148" spans="1:17" hidden="1" x14ac:dyDescent="0.3">
      <c r="A148">
        <v>4</v>
      </c>
      <c r="B148">
        <v>1.64384566092427</v>
      </c>
      <c r="C148">
        <v>2.3979033035500801</v>
      </c>
      <c r="D148">
        <v>0.75405764262581298</v>
      </c>
      <c r="E148">
        <v>0.15971196432103499</v>
      </c>
      <c r="F148">
        <v>0.158581004093792</v>
      </c>
      <c r="G148">
        <v>0.25427439454675999</v>
      </c>
      <c r="H148">
        <v>0.286227151250245</v>
      </c>
      <c r="I148">
        <v>32.090793227815702</v>
      </c>
      <c r="J148">
        <v>194.301696565561</v>
      </c>
      <c r="K148">
        <v>85.966787377808998</v>
      </c>
      <c r="L148">
        <v>113.11197941926901</v>
      </c>
      <c r="M148">
        <f t="shared" si="10"/>
        <v>6.0547489489023887</v>
      </c>
      <c r="N148">
        <f t="shared" si="11"/>
        <v>1.8008429143622366</v>
      </c>
      <c r="O148">
        <f t="shared" si="12"/>
        <v>1.3157637137486786</v>
      </c>
      <c r="P148">
        <f t="shared" si="13"/>
        <v>27.145192041460007</v>
      </c>
      <c r="Q148">
        <f t="shared" si="14"/>
        <v>2.3882032520634211</v>
      </c>
    </row>
    <row r="149" spans="1:17" hidden="1" x14ac:dyDescent="0.3">
      <c r="A149">
        <v>4</v>
      </c>
      <c r="B149">
        <v>1.57221018487482</v>
      </c>
      <c r="C149">
        <v>2.39413301533695</v>
      </c>
      <c r="D149">
        <v>0.82192283046213599</v>
      </c>
      <c r="E149">
        <v>0.16007802681904901</v>
      </c>
      <c r="F149">
        <v>0.15907180871227999</v>
      </c>
      <c r="G149">
        <v>0.25132164204033403</v>
      </c>
      <c r="H149">
        <v>0.25249133473069202</v>
      </c>
      <c r="I149">
        <v>30.045605793767599</v>
      </c>
      <c r="J149">
        <v>155.470186223317</v>
      </c>
      <c r="K149">
        <v>79.9526521274488</v>
      </c>
      <c r="L149">
        <v>31.364225199976801</v>
      </c>
      <c r="M149">
        <f t="shared" si="10"/>
        <v>5.1744733419742328</v>
      </c>
      <c r="N149">
        <f t="shared" si="11"/>
        <v>1.6437375643057339</v>
      </c>
      <c r="O149">
        <f t="shared" si="12"/>
        <v>0.3922849882450497</v>
      </c>
      <c r="P149">
        <f t="shared" si="13"/>
        <v>-48.588426927472</v>
      </c>
      <c r="Q149">
        <f t="shared" si="14"/>
        <v>1.9998684832510794</v>
      </c>
    </row>
    <row r="150" spans="1:17" hidden="1" x14ac:dyDescent="0.3">
      <c r="A150">
        <v>4</v>
      </c>
      <c r="B150">
        <v>1.5458181673829099</v>
      </c>
      <c r="C150">
        <v>2.31118667464811</v>
      </c>
      <c r="D150">
        <v>0.7653685072652</v>
      </c>
      <c r="E150">
        <v>0.15991904286515701</v>
      </c>
      <c r="F150">
        <v>0.15926745704550899</v>
      </c>
      <c r="G150">
        <v>0.253646641881347</v>
      </c>
      <c r="H150">
        <v>0.27902729481258998</v>
      </c>
      <c r="I150">
        <v>25.397077921111499</v>
      </c>
      <c r="J150">
        <v>161.274384683308</v>
      </c>
      <c r="K150">
        <v>66.994307798750597</v>
      </c>
      <c r="L150">
        <v>98.259161091339294</v>
      </c>
      <c r="M150">
        <f t="shared" si="10"/>
        <v>6.3501157567913564</v>
      </c>
      <c r="N150">
        <f t="shared" si="11"/>
        <v>1.8484730421544082</v>
      </c>
      <c r="O150">
        <f t="shared" si="12"/>
        <v>1.4666792496238279</v>
      </c>
      <c r="P150">
        <f t="shared" si="13"/>
        <v>31.264853292588697</v>
      </c>
      <c r="Q150">
        <f t="shared" si="14"/>
        <v>2.4151412353760624</v>
      </c>
    </row>
    <row r="151" spans="1:17" hidden="1" x14ac:dyDescent="0.3">
      <c r="A151">
        <v>4</v>
      </c>
      <c r="B151">
        <v>1.4854935559728499</v>
      </c>
      <c r="C151">
        <v>2.3074163864349799</v>
      </c>
      <c r="D151">
        <v>0.82192283046213599</v>
      </c>
      <c r="E151">
        <v>0.16025508785391701</v>
      </c>
      <c r="F151">
        <v>0.15920682569991401</v>
      </c>
      <c r="G151">
        <v>0.25112214281140399</v>
      </c>
      <c r="H151">
        <v>0.25033245562456502</v>
      </c>
      <c r="I151">
        <v>23.977277157589601</v>
      </c>
      <c r="J151">
        <v>135.391889823946</v>
      </c>
      <c r="K151">
        <v>62.739382948047698</v>
      </c>
      <c r="L151">
        <v>24.987540544134198</v>
      </c>
      <c r="M151">
        <f t="shared" si="10"/>
        <v>5.6466749303554673</v>
      </c>
      <c r="N151">
        <f t="shared" si="11"/>
        <v>1.7310668640179157</v>
      </c>
      <c r="O151">
        <f t="shared" si="12"/>
        <v>0.39827520402656036</v>
      </c>
      <c r="P151">
        <f t="shared" si="13"/>
        <v>-37.7518424039135</v>
      </c>
      <c r="Q151">
        <f t="shared" si="14"/>
        <v>2.1061184820047099</v>
      </c>
    </row>
    <row r="152" spans="1:17" hidden="1" x14ac:dyDescent="0.3">
      <c r="A152">
        <v>7</v>
      </c>
      <c r="B152">
        <v>1.9228469886958199</v>
      </c>
      <c r="C152">
        <v>2.6014988670590502</v>
      </c>
      <c r="D152">
        <v>0.67865187836323104</v>
      </c>
      <c r="E152">
        <v>0.159793021229968</v>
      </c>
      <c r="F152">
        <v>0.15857195992842399</v>
      </c>
      <c r="G152">
        <v>0.34063195080167602</v>
      </c>
      <c r="H152">
        <v>0.34648007258519498</v>
      </c>
      <c r="I152">
        <v>20.869711985530898</v>
      </c>
      <c r="J152">
        <v>119.393212964724</v>
      </c>
      <c r="K152">
        <v>54.255065698277797</v>
      </c>
      <c r="L152">
        <v>16.3704870707382</v>
      </c>
      <c r="M152">
        <f t="shared" si="10"/>
        <v>5.7208845549713416</v>
      </c>
      <c r="N152">
        <f t="shared" si="11"/>
        <v>1.7441234359132984</v>
      </c>
      <c r="O152">
        <f t="shared" si="12"/>
        <v>0.3017319555334691</v>
      </c>
      <c r="P152">
        <f t="shared" si="13"/>
        <v>-37.884578627539597</v>
      </c>
      <c r="Q152">
        <f t="shared" si="14"/>
        <v>2.5699824777907754</v>
      </c>
    </row>
    <row r="153" spans="1:17" hidden="1" x14ac:dyDescent="0.3">
      <c r="A153">
        <v>7</v>
      </c>
      <c r="B153">
        <v>1.9492390061877201</v>
      </c>
      <c r="C153">
        <v>2.6354314609772098</v>
      </c>
      <c r="D153">
        <v>0.68619245478948998</v>
      </c>
      <c r="E153">
        <v>0.160489485702316</v>
      </c>
      <c r="F153">
        <v>0.15929672731163899</v>
      </c>
      <c r="G153">
        <v>0.33909821948200197</v>
      </c>
      <c r="H153">
        <v>0.338951270335068</v>
      </c>
      <c r="I153">
        <v>21.209450206367499</v>
      </c>
      <c r="J153">
        <v>130.52229227874599</v>
      </c>
      <c r="K153">
        <v>54.953046065304797</v>
      </c>
      <c r="L153">
        <v>28.734603918157799</v>
      </c>
      <c r="M153">
        <f t="shared" si="10"/>
        <v>6.1539686794691457</v>
      </c>
      <c r="N153">
        <f t="shared" si="11"/>
        <v>1.8170971874278714</v>
      </c>
      <c r="O153">
        <f t="shared" si="12"/>
        <v>0.52289374248718312</v>
      </c>
      <c r="P153">
        <f t="shared" si="13"/>
        <v>-26.218442147146998</v>
      </c>
      <c r="Q153">
        <f t="shared" si="14"/>
        <v>2.648086808219599</v>
      </c>
    </row>
    <row r="154" spans="1:17" hidden="1" x14ac:dyDescent="0.3">
      <c r="A154">
        <v>7</v>
      </c>
      <c r="B154">
        <v>1.80973834230195</v>
      </c>
      <c r="C154">
        <v>2.4883902206651798</v>
      </c>
      <c r="D154">
        <v>0.67865187836323104</v>
      </c>
      <c r="E154">
        <v>0.16001953744785499</v>
      </c>
      <c r="F154">
        <v>0.15821258923545201</v>
      </c>
      <c r="G154">
        <v>0.34029765937460499</v>
      </c>
      <c r="H154">
        <v>0.34633000968140698</v>
      </c>
      <c r="I154">
        <v>16.265302268565499</v>
      </c>
      <c r="J154">
        <v>107.29768126984099</v>
      </c>
      <c r="K154">
        <v>38.593278419999301</v>
      </c>
      <c r="L154">
        <v>10.431263733805601</v>
      </c>
      <c r="M154">
        <f t="shared" si="10"/>
        <v>6.5967222433490011</v>
      </c>
      <c r="N154">
        <f t="shared" si="11"/>
        <v>1.886572895875352</v>
      </c>
      <c r="O154">
        <f t="shared" si="12"/>
        <v>0.27028705932378239</v>
      </c>
      <c r="P154">
        <f t="shared" si="13"/>
        <v>-28.1620146861937</v>
      </c>
      <c r="Q154">
        <f t="shared" si="14"/>
        <v>2.7798831124219117</v>
      </c>
    </row>
    <row r="155" spans="1:17" hidden="1" x14ac:dyDescent="0.3">
      <c r="A155">
        <v>7</v>
      </c>
      <c r="B155">
        <v>1.8361303597938501</v>
      </c>
      <c r="C155">
        <v>2.5185525263702102</v>
      </c>
      <c r="D155">
        <v>0.68242216657636101</v>
      </c>
      <c r="E155">
        <v>0.159678212674466</v>
      </c>
      <c r="F155">
        <v>0.15883390307884501</v>
      </c>
      <c r="G155">
        <v>0.34020464703342201</v>
      </c>
      <c r="H155">
        <v>0.33967861037589597</v>
      </c>
      <c r="I155">
        <v>16.7034608767237</v>
      </c>
      <c r="J155">
        <v>115.774481669021</v>
      </c>
      <c r="K155">
        <v>40.3935402680736</v>
      </c>
      <c r="L155">
        <v>25.1912765817113</v>
      </c>
      <c r="M155">
        <f t="shared" si="10"/>
        <v>6.9311672906273536</v>
      </c>
      <c r="N155">
        <f t="shared" si="11"/>
        <v>1.9360282392233206</v>
      </c>
      <c r="O155">
        <f t="shared" si="12"/>
        <v>0.62364616754382574</v>
      </c>
      <c r="P155">
        <f t="shared" si="13"/>
        <v>-15.202263686362301</v>
      </c>
      <c r="Q155">
        <f t="shared" si="14"/>
        <v>2.8369949483560442</v>
      </c>
    </row>
    <row r="156" spans="1:17" hidden="1" x14ac:dyDescent="0.3">
      <c r="A156">
        <v>7</v>
      </c>
      <c r="B156">
        <v>1.69662969590807</v>
      </c>
      <c r="C156">
        <v>2.3790518624844399</v>
      </c>
      <c r="D156">
        <v>0.68242216657636001</v>
      </c>
      <c r="E156">
        <v>0.160407155349543</v>
      </c>
      <c r="F156">
        <v>0.15895018451634399</v>
      </c>
      <c r="G156">
        <v>0.33974151713695899</v>
      </c>
      <c r="H156">
        <v>0.344650275793776</v>
      </c>
      <c r="I156">
        <v>13.015642793207901</v>
      </c>
      <c r="J156">
        <v>96.991239258533497</v>
      </c>
      <c r="K156">
        <v>26.859741422606199</v>
      </c>
      <c r="L156">
        <v>12.836171540005299</v>
      </c>
      <c r="M156">
        <f t="shared" si="10"/>
        <v>7.4518977510006286</v>
      </c>
      <c r="N156">
        <f t="shared" si="11"/>
        <v>2.0084687316307996</v>
      </c>
      <c r="O156">
        <f t="shared" si="12"/>
        <v>0.47789631843595787</v>
      </c>
      <c r="P156">
        <f t="shared" si="13"/>
        <v>-14.023569882600899</v>
      </c>
      <c r="Q156">
        <f t="shared" si="14"/>
        <v>2.9431469697226369</v>
      </c>
    </row>
    <row r="157" spans="1:17" hidden="1" x14ac:dyDescent="0.3">
      <c r="A157">
        <v>7</v>
      </c>
      <c r="B157">
        <v>1.71925142518685</v>
      </c>
      <c r="C157">
        <v>2.4016735917632102</v>
      </c>
      <c r="D157">
        <v>0.68242216657636001</v>
      </c>
      <c r="E157">
        <v>0.15996929851184499</v>
      </c>
      <c r="F157">
        <v>0.15854122551284899</v>
      </c>
      <c r="G157">
        <v>0.33985979228299401</v>
      </c>
      <c r="H157">
        <v>0.34024187749726198</v>
      </c>
      <c r="I157">
        <v>13.3725614945579</v>
      </c>
      <c r="J157">
        <v>103.135241736258</v>
      </c>
      <c r="K157">
        <v>28.349557927802302</v>
      </c>
      <c r="L157">
        <v>23.253716430566602</v>
      </c>
      <c r="M157">
        <f t="shared" si="10"/>
        <v>7.7124522312520254</v>
      </c>
      <c r="N157">
        <f t="shared" si="11"/>
        <v>2.0428361955334955</v>
      </c>
      <c r="O157">
        <f t="shared" si="12"/>
        <v>0.82024970159276356</v>
      </c>
      <c r="P157">
        <f t="shared" si="13"/>
        <v>-5.0958414972356998</v>
      </c>
      <c r="Q157">
        <f t="shared" si="14"/>
        <v>2.9935079714397155</v>
      </c>
    </row>
    <row r="158" spans="1:17" hidden="1" x14ac:dyDescent="0.3">
      <c r="A158">
        <v>7</v>
      </c>
      <c r="B158">
        <v>1.5872913377273301</v>
      </c>
      <c r="C158">
        <v>2.2659432160905602</v>
      </c>
      <c r="D158">
        <v>0.67865187836323104</v>
      </c>
      <c r="E158">
        <v>0.15943094173371</v>
      </c>
      <c r="F158">
        <v>0.15852379622311799</v>
      </c>
      <c r="G158">
        <v>0.34099318051537097</v>
      </c>
      <c r="H158">
        <v>0.34457853133531902</v>
      </c>
      <c r="I158">
        <v>10.8029129624005</v>
      </c>
      <c r="J158">
        <v>86.782567363947194</v>
      </c>
      <c r="K158">
        <v>19.157219834611801</v>
      </c>
      <c r="L158">
        <v>12.048155155112299</v>
      </c>
      <c r="M158">
        <f t="shared" si="10"/>
        <v>8.0332561843267278</v>
      </c>
      <c r="N158">
        <f t="shared" si="11"/>
        <v>2.0835899481716038</v>
      </c>
      <c r="O158">
        <f t="shared" si="12"/>
        <v>0.62890937511426437</v>
      </c>
      <c r="P158">
        <f t="shared" si="13"/>
        <v>-7.109064679499502</v>
      </c>
      <c r="Q158">
        <f t="shared" si="14"/>
        <v>3.0701896135568032</v>
      </c>
    </row>
    <row r="159" spans="1:17" hidden="1" x14ac:dyDescent="0.3">
      <c r="A159">
        <v>7</v>
      </c>
      <c r="B159">
        <v>1.60237249057985</v>
      </c>
      <c r="C159">
        <v>2.2847946571562101</v>
      </c>
      <c r="D159">
        <v>0.68242216657636001</v>
      </c>
      <c r="E159">
        <v>0.16035252411218101</v>
      </c>
      <c r="F159">
        <v>0.15816756609795499</v>
      </c>
      <c r="G159">
        <v>0.339389519465638</v>
      </c>
      <c r="H159">
        <v>0.34094164748059003</v>
      </c>
      <c r="I159">
        <v>10.9950735964473</v>
      </c>
      <c r="J159">
        <v>91.290791922422898</v>
      </c>
      <c r="K159">
        <v>19.578575896326999</v>
      </c>
      <c r="L159">
        <v>20.711014778661202</v>
      </c>
      <c r="M159">
        <f t="shared" si="10"/>
        <v>8.3028813878899861</v>
      </c>
      <c r="N159">
        <f t="shared" si="11"/>
        <v>2.1166026097256077</v>
      </c>
      <c r="O159">
        <f t="shared" si="12"/>
        <v>1.0578407177483553</v>
      </c>
      <c r="P159">
        <f t="shared" si="13"/>
        <v>1.1324388823342026</v>
      </c>
      <c r="Q159">
        <f t="shared" si="14"/>
        <v>3.1016029569267647</v>
      </c>
    </row>
    <row r="160" spans="1:17" hidden="1" x14ac:dyDescent="0.3">
      <c r="A160">
        <v>7</v>
      </c>
      <c r="B160">
        <v>1.4741826913334599</v>
      </c>
      <c r="C160">
        <v>2.1528345696966902</v>
      </c>
      <c r="D160">
        <v>0.67865187836323104</v>
      </c>
      <c r="E160">
        <v>0.15958558669165099</v>
      </c>
      <c r="F160">
        <v>0.158278963014199</v>
      </c>
      <c r="G160">
        <v>0.34075897461766402</v>
      </c>
      <c r="H160">
        <v>0.34445429950144202</v>
      </c>
      <c r="I160">
        <v>9.1023447657505692</v>
      </c>
      <c r="J160">
        <v>76.371009639334602</v>
      </c>
      <c r="K160">
        <v>13.280440597664001</v>
      </c>
      <c r="L160">
        <v>11.4239599800886</v>
      </c>
      <c r="M160">
        <f t="shared" si="10"/>
        <v>8.3902567530397363</v>
      </c>
      <c r="N160">
        <f t="shared" si="11"/>
        <v>2.1270711222802117</v>
      </c>
      <c r="O160">
        <f t="shared" si="12"/>
        <v>0.86020941068009815</v>
      </c>
      <c r="P160">
        <f t="shared" si="13"/>
        <v>-1.8564806175754001</v>
      </c>
      <c r="Q160">
        <f t="shared" si="14"/>
        <v>3.1342595373201836</v>
      </c>
    </row>
    <row r="161" spans="1:17" hidden="1" x14ac:dyDescent="0.3">
      <c r="A161">
        <v>7</v>
      </c>
      <c r="B161">
        <v>1.48926384418598</v>
      </c>
      <c r="C161">
        <v>2.1716860107623401</v>
      </c>
      <c r="D161">
        <v>0.68242216657636001</v>
      </c>
      <c r="E161">
        <v>0.159613533644233</v>
      </c>
      <c r="F161">
        <v>0.15892351705672</v>
      </c>
      <c r="G161">
        <v>0.34039683450887098</v>
      </c>
      <c r="H161">
        <v>0.34006010139227999</v>
      </c>
      <c r="I161">
        <v>9.2802947037664705</v>
      </c>
      <c r="J161">
        <v>79.814053017340598</v>
      </c>
      <c r="K161">
        <v>13.890100893244901</v>
      </c>
      <c r="L161">
        <v>20.2986398210275</v>
      </c>
      <c r="M161">
        <f t="shared" si="10"/>
        <v>8.6003791436652897</v>
      </c>
      <c r="N161">
        <f t="shared" si="11"/>
        <v>2.1518062887603904</v>
      </c>
      <c r="O161">
        <f t="shared" si="12"/>
        <v>1.4613745412676757</v>
      </c>
      <c r="P161">
        <f t="shared" si="13"/>
        <v>6.4085389277825993</v>
      </c>
      <c r="Q161">
        <f t="shared" si="14"/>
        <v>3.1531893220230156</v>
      </c>
    </row>
    <row r="162" spans="1:17" hidden="1" x14ac:dyDescent="0.3">
      <c r="A162">
        <v>7</v>
      </c>
      <c r="B162">
        <v>1.3610740449395899</v>
      </c>
      <c r="C162">
        <v>2.0397259233028202</v>
      </c>
      <c r="D162">
        <v>0.67865187836323104</v>
      </c>
      <c r="E162">
        <v>0.159628761853298</v>
      </c>
      <c r="F162">
        <v>0.158172567110064</v>
      </c>
      <c r="G162">
        <v>0.34068003124723101</v>
      </c>
      <c r="H162">
        <v>0.34427672505715601</v>
      </c>
      <c r="I162">
        <v>7.8093741101411602</v>
      </c>
      <c r="J162">
        <v>66.210541769365506</v>
      </c>
      <c r="K162">
        <v>9.5210342498890501</v>
      </c>
      <c r="L162">
        <v>10.479514281704899</v>
      </c>
      <c r="M162">
        <f t="shared" si="10"/>
        <v>8.4783416488378087</v>
      </c>
      <c r="N162">
        <f t="shared" si="11"/>
        <v>2.1375148704008469</v>
      </c>
      <c r="O162">
        <f t="shared" si="12"/>
        <v>1.1006697388812585</v>
      </c>
      <c r="P162">
        <f t="shared" si="13"/>
        <v>0.95848003181584929</v>
      </c>
      <c r="Q162">
        <f t="shared" si="14"/>
        <v>3.1496484995460357</v>
      </c>
    </row>
    <row r="163" spans="1:17" hidden="1" x14ac:dyDescent="0.3">
      <c r="A163">
        <v>7</v>
      </c>
      <c r="B163">
        <v>1.37238490957897</v>
      </c>
      <c r="C163">
        <v>2.0548070761553401</v>
      </c>
      <c r="D163">
        <v>0.68242216657636101</v>
      </c>
      <c r="E163">
        <v>0.16025255067218</v>
      </c>
      <c r="F163">
        <v>0.15829902010685601</v>
      </c>
      <c r="G163">
        <v>0.33957103135732097</v>
      </c>
      <c r="H163">
        <v>0.34106214414553898</v>
      </c>
      <c r="I163">
        <v>7.9188119550468503</v>
      </c>
      <c r="J163">
        <v>68.795173698649194</v>
      </c>
      <c r="K163">
        <v>9.7643550993979602</v>
      </c>
      <c r="L163">
        <v>16.296033672733302</v>
      </c>
      <c r="M163">
        <f t="shared" si="10"/>
        <v>8.6875624890681191</v>
      </c>
      <c r="N163">
        <f t="shared" si="11"/>
        <v>2.1618924038512994</v>
      </c>
      <c r="O163">
        <f t="shared" si="12"/>
        <v>1.6689308722229965</v>
      </c>
      <c r="P163">
        <f t="shared" si="13"/>
        <v>6.5316785733353413</v>
      </c>
      <c r="Q163">
        <f t="shared" si="14"/>
        <v>3.1679691981537665</v>
      </c>
    </row>
    <row r="164" spans="1:17" hidden="1" x14ac:dyDescent="0.3">
      <c r="A164">
        <v>7</v>
      </c>
      <c r="B164">
        <v>1.24796539854572</v>
      </c>
      <c r="C164">
        <v>1.92661727690895</v>
      </c>
      <c r="D164">
        <v>0.67865187836323104</v>
      </c>
      <c r="E164">
        <v>0.15959474741973301</v>
      </c>
      <c r="F164">
        <v>0.15816067917906601</v>
      </c>
      <c r="G164">
        <v>0.34070846812553801</v>
      </c>
      <c r="H164">
        <v>0.34405712245683301</v>
      </c>
      <c r="I164">
        <v>6.8083483785828802</v>
      </c>
      <c r="J164">
        <v>56.815370139214501</v>
      </c>
      <c r="K164">
        <v>7.3511745127263302</v>
      </c>
      <c r="L164">
        <v>9.2650601798242391</v>
      </c>
      <c r="M164">
        <f t="shared" si="10"/>
        <v>8.344956365326345</v>
      </c>
      <c r="N164">
        <f t="shared" si="11"/>
        <v>2.121657328259666</v>
      </c>
      <c r="O164">
        <f t="shared" si="12"/>
        <v>1.2603510042898038</v>
      </c>
      <c r="P164">
        <f t="shared" si="13"/>
        <v>1.913885667097909</v>
      </c>
      <c r="Q164">
        <f t="shared" si="14"/>
        <v>3.1262822603197842</v>
      </c>
    </row>
    <row r="165" spans="1:17" hidden="1" x14ac:dyDescent="0.3">
      <c r="A165">
        <v>7</v>
      </c>
      <c r="B165">
        <v>1.2592762631851</v>
      </c>
      <c r="C165">
        <v>1.9416984297614599</v>
      </c>
      <c r="D165">
        <v>0.68242216657636001</v>
      </c>
      <c r="E165">
        <v>0.15970273539456301</v>
      </c>
      <c r="F165">
        <v>0.15886450866310001</v>
      </c>
      <c r="G165">
        <v>0.34031564187671198</v>
      </c>
      <c r="H165">
        <v>0.34040212718631602</v>
      </c>
      <c r="I165">
        <v>6.8961983734687804</v>
      </c>
      <c r="J165">
        <v>58.825733751050002</v>
      </c>
      <c r="K165">
        <v>7.5424085352651602</v>
      </c>
      <c r="L165">
        <v>14.5831903203258</v>
      </c>
      <c r="M165">
        <f t="shared" si="10"/>
        <v>8.5301684443077761</v>
      </c>
      <c r="N165">
        <f t="shared" si="11"/>
        <v>2.143609108589712</v>
      </c>
      <c r="O165">
        <f t="shared" si="12"/>
        <v>1.9334924980715216</v>
      </c>
      <c r="P165">
        <f t="shared" si="13"/>
        <v>7.0407817850606396</v>
      </c>
      <c r="Q165">
        <f t="shared" si="14"/>
        <v>3.1411774317706778</v>
      </c>
    </row>
    <row r="166" spans="1:17" hidden="1" x14ac:dyDescent="0.3">
      <c r="A166">
        <v>7</v>
      </c>
      <c r="B166">
        <v>1.13485675215184</v>
      </c>
      <c r="C166">
        <v>1.81350863051508</v>
      </c>
      <c r="D166">
        <v>0.67865187836323104</v>
      </c>
      <c r="E166">
        <v>0.159507570868861</v>
      </c>
      <c r="F166">
        <v>0.15821317399509099</v>
      </c>
      <c r="G166">
        <v>0.34081093509283999</v>
      </c>
      <c r="H166">
        <v>0.34380631398462902</v>
      </c>
      <c r="I166">
        <v>6.0198434477617901</v>
      </c>
      <c r="J166">
        <v>48.482865553368903</v>
      </c>
      <c r="K166">
        <v>6.2807762610585502</v>
      </c>
      <c r="L166">
        <v>7.9363546916406698</v>
      </c>
      <c r="M166">
        <f t="shared" si="10"/>
        <v>8.0538415947336794</v>
      </c>
      <c r="N166">
        <f t="shared" si="11"/>
        <v>2.0861491943358814</v>
      </c>
      <c r="O166">
        <f t="shared" si="12"/>
        <v>1.2635945561135291</v>
      </c>
      <c r="P166">
        <f t="shared" si="13"/>
        <v>1.6555784305821195</v>
      </c>
      <c r="Q166">
        <f t="shared" si="14"/>
        <v>3.073960687130517</v>
      </c>
    </row>
    <row r="167" spans="1:17" hidden="1" x14ac:dyDescent="0.3">
      <c r="A167">
        <v>7</v>
      </c>
      <c r="B167">
        <v>1.1423973285780999</v>
      </c>
      <c r="C167">
        <v>1.8285897833675899</v>
      </c>
      <c r="D167">
        <v>0.68619245478948898</v>
      </c>
      <c r="E167">
        <v>0.160472942941456</v>
      </c>
      <c r="F167">
        <v>0.159374378162283</v>
      </c>
      <c r="G167">
        <v>0.339309558263727</v>
      </c>
      <c r="H167">
        <v>0.33980693212754698</v>
      </c>
      <c r="I167">
        <v>6.0662401588313699</v>
      </c>
      <c r="J167">
        <v>50.052773249543499</v>
      </c>
      <c r="K167">
        <v>6.2748769204802102</v>
      </c>
      <c r="L167">
        <v>12.666813591433399</v>
      </c>
      <c r="M167">
        <f t="shared" si="10"/>
        <v>8.2510372057518264</v>
      </c>
      <c r="N167">
        <f t="shared" si="11"/>
        <v>2.1103389143535649</v>
      </c>
      <c r="O167">
        <f t="shared" si="12"/>
        <v>2.0186553062245594</v>
      </c>
      <c r="P167">
        <f t="shared" si="13"/>
        <v>6.3919366709531893</v>
      </c>
      <c r="Q167">
        <f t="shared" si="14"/>
        <v>3.0754329920473613</v>
      </c>
    </row>
    <row r="168" spans="1:17" hidden="1" x14ac:dyDescent="0.3">
      <c r="A168">
        <v>7</v>
      </c>
      <c r="B168">
        <v>1.01797781754484</v>
      </c>
      <c r="C168">
        <v>1.7003999841212001</v>
      </c>
      <c r="D168">
        <v>0.68242216657636001</v>
      </c>
      <c r="E168">
        <v>0.16065376889979299</v>
      </c>
      <c r="F168">
        <v>0.15831043156715299</v>
      </c>
      <c r="G168">
        <v>0.33928618408862599</v>
      </c>
      <c r="H168">
        <v>0.34353259870590802</v>
      </c>
      <c r="I168">
        <v>5.3611928050100204</v>
      </c>
      <c r="J168">
        <v>41.310463180413002</v>
      </c>
      <c r="K168">
        <v>5.7774102212129996</v>
      </c>
      <c r="L168">
        <v>6.6217412577342296</v>
      </c>
      <c r="M168">
        <f t="shared" si="10"/>
        <v>7.7054612066569375</v>
      </c>
      <c r="N168">
        <f t="shared" si="11"/>
        <v>2.0419293250801922</v>
      </c>
      <c r="O168">
        <f t="shared" si="12"/>
        <v>1.1461435148608778</v>
      </c>
      <c r="P168">
        <f t="shared" si="13"/>
        <v>0.84433103652122998</v>
      </c>
      <c r="Q168">
        <f t="shared" si="14"/>
        <v>2.9921790719729047</v>
      </c>
    </row>
    <row r="169" spans="1:17" hidden="1" x14ac:dyDescent="0.3">
      <c r="A169">
        <v>7</v>
      </c>
      <c r="B169">
        <v>1.02928868218423</v>
      </c>
      <c r="C169">
        <v>1.7117108487605901</v>
      </c>
      <c r="D169">
        <v>0.68242216657636001</v>
      </c>
      <c r="E169">
        <v>0.16001433221618599</v>
      </c>
      <c r="F169">
        <v>0.15857687121529801</v>
      </c>
      <c r="G169">
        <v>0.33992596352222498</v>
      </c>
      <c r="H169">
        <v>0.34098028984584</v>
      </c>
      <c r="I169">
        <v>5.4192234574195997</v>
      </c>
      <c r="J169">
        <v>42.490137938878497</v>
      </c>
      <c r="K169">
        <v>5.8487853165999999</v>
      </c>
      <c r="L169">
        <v>9.3348561381378303</v>
      </c>
      <c r="M169">
        <f t="shared" si="10"/>
        <v>7.8406321999333954</v>
      </c>
      <c r="N169">
        <f t="shared" si="11"/>
        <v>2.0593194688578746</v>
      </c>
      <c r="O169">
        <f t="shared" si="12"/>
        <v>1.5960333014179333</v>
      </c>
      <c r="P169">
        <f t="shared" si="13"/>
        <v>3.4860708215378304</v>
      </c>
      <c r="Q169">
        <f t="shared" si="14"/>
        <v>3.0176620422359122</v>
      </c>
    </row>
    <row r="170" spans="1:17" hidden="1" x14ac:dyDescent="0.3">
      <c r="A170">
        <v>7</v>
      </c>
      <c r="B170">
        <v>0.90486917115097498</v>
      </c>
      <c r="C170">
        <v>1.5872913377273301</v>
      </c>
      <c r="D170">
        <v>0.68242216657636001</v>
      </c>
      <c r="E170">
        <v>0.16050305417473801</v>
      </c>
      <c r="F170">
        <v>0.158439420599885</v>
      </c>
      <c r="G170">
        <v>0.33947508488418199</v>
      </c>
      <c r="H170">
        <v>0.34324209402150502</v>
      </c>
      <c r="I170">
        <v>4.8307617916706702</v>
      </c>
      <c r="J170">
        <v>35.2742634689331</v>
      </c>
      <c r="K170">
        <v>5.7058110229400798</v>
      </c>
      <c r="L170">
        <v>5.4032071766353704</v>
      </c>
      <c r="M170">
        <f t="shared" si="10"/>
        <v>7.3020084595671717</v>
      </c>
      <c r="N170">
        <f t="shared" si="11"/>
        <v>1.9881494417601873</v>
      </c>
      <c r="O170">
        <f t="shared" si="12"/>
        <v>0.94696567322540171</v>
      </c>
      <c r="P170">
        <f t="shared" si="13"/>
        <v>-0.30260384630470938</v>
      </c>
      <c r="Q170">
        <f t="shared" si="14"/>
        <v>2.9133717208140197</v>
      </c>
    </row>
    <row r="171" spans="1:17" hidden="1" x14ac:dyDescent="0.3">
      <c r="A171">
        <v>7</v>
      </c>
      <c r="B171">
        <v>0.916180035790362</v>
      </c>
      <c r="C171">
        <v>1.5986022023667199</v>
      </c>
      <c r="D171">
        <v>0.68242216657636001</v>
      </c>
      <c r="E171">
        <v>0.15958176100902399</v>
      </c>
      <c r="F171">
        <v>0.159020414579782</v>
      </c>
      <c r="G171">
        <v>0.34050862682761202</v>
      </c>
      <c r="H171">
        <v>0.340449691232038</v>
      </c>
      <c r="I171">
        <v>4.8820963311267898</v>
      </c>
      <c r="J171">
        <v>36.195722774936499</v>
      </c>
      <c r="K171">
        <v>5.7688530883449696</v>
      </c>
      <c r="L171">
        <v>7.8285232923870796</v>
      </c>
      <c r="M171">
        <f t="shared" si="10"/>
        <v>7.4139714417684406</v>
      </c>
      <c r="N171">
        <f t="shared" si="11"/>
        <v>2.0033662527880818</v>
      </c>
      <c r="O171">
        <f t="shared" si="12"/>
        <v>1.3570328750793359</v>
      </c>
      <c r="P171">
        <f t="shared" si="13"/>
        <v>2.05967020404211</v>
      </c>
      <c r="Q171">
        <f t="shared" si="14"/>
        <v>2.9356699575554015</v>
      </c>
    </row>
    <row r="172" spans="1:17" hidden="1" x14ac:dyDescent="0.3">
      <c r="A172">
        <v>7</v>
      </c>
      <c r="B172">
        <v>0.79176052475710301</v>
      </c>
      <c r="C172">
        <v>1.4741826913334599</v>
      </c>
      <c r="D172">
        <v>0.68242216657636001</v>
      </c>
      <c r="E172">
        <v>0.160333224693467</v>
      </c>
      <c r="F172">
        <v>0.15859107584405099</v>
      </c>
      <c r="G172">
        <v>0.33969072327982602</v>
      </c>
      <c r="H172">
        <v>0.342939389591563</v>
      </c>
      <c r="I172">
        <v>4.3741996657581597</v>
      </c>
      <c r="J172">
        <v>30.291386005502101</v>
      </c>
      <c r="K172">
        <v>5.7206393444210599</v>
      </c>
      <c r="L172">
        <v>4.3262302155277403</v>
      </c>
      <c r="M172">
        <f t="shared" si="10"/>
        <v>6.9250121896874672</v>
      </c>
      <c r="N172">
        <f t="shared" si="11"/>
        <v>1.9351398123155306</v>
      </c>
      <c r="O172">
        <f t="shared" si="12"/>
        <v>0.75624942511833237</v>
      </c>
      <c r="P172">
        <f t="shared" si="13"/>
        <v>-1.3944091288933196</v>
      </c>
      <c r="Q172">
        <f t="shared" si="14"/>
        <v>2.8356930754813132</v>
      </c>
    </row>
    <row r="173" spans="1:17" hidden="1" x14ac:dyDescent="0.3">
      <c r="A173">
        <v>7</v>
      </c>
      <c r="B173">
        <v>0.79930110118336095</v>
      </c>
      <c r="C173">
        <v>1.4817232677597201</v>
      </c>
      <c r="D173">
        <v>0.68242216657636001</v>
      </c>
      <c r="E173">
        <v>0.16043600944207201</v>
      </c>
      <c r="F173">
        <v>0.15817321445893201</v>
      </c>
      <c r="G173">
        <v>0.33938549063189499</v>
      </c>
      <c r="H173">
        <v>0.341671070732745</v>
      </c>
      <c r="I173">
        <v>4.4005891023494401</v>
      </c>
      <c r="J173">
        <v>30.981441169055099</v>
      </c>
      <c r="K173">
        <v>5.6957442121768196</v>
      </c>
      <c r="L173">
        <v>5.4305609792598597</v>
      </c>
      <c r="M173">
        <f t="shared" si="10"/>
        <v>7.0402940262053439</v>
      </c>
      <c r="N173">
        <f t="shared" si="11"/>
        <v>1.9516499343838005</v>
      </c>
      <c r="O173">
        <f t="shared" si="12"/>
        <v>0.95344186412900533</v>
      </c>
      <c r="P173">
        <f t="shared" si="13"/>
        <v>-0.26518323291695989</v>
      </c>
      <c r="Q173">
        <f t="shared" si="14"/>
        <v>2.8598864895831633</v>
      </c>
    </row>
    <row r="174" spans="1:17" hidden="1" x14ac:dyDescent="0.3">
      <c r="A174">
        <v>7</v>
      </c>
      <c r="B174">
        <v>0.67865187836323104</v>
      </c>
      <c r="C174">
        <v>1.3610740449395899</v>
      </c>
      <c r="D174">
        <v>0.68242216657636001</v>
      </c>
      <c r="E174">
        <v>0.160149905321884</v>
      </c>
      <c r="F174">
        <v>0.158758597767717</v>
      </c>
      <c r="G174">
        <v>0.33992542800354603</v>
      </c>
      <c r="H174">
        <v>0.34262814290261401</v>
      </c>
      <c r="I174">
        <v>3.9715433479081099</v>
      </c>
      <c r="J174">
        <v>26.2569327569427</v>
      </c>
      <c r="K174">
        <v>5.6803898006414801</v>
      </c>
      <c r="L174">
        <v>3.4119548304706302</v>
      </c>
      <c r="M174">
        <f t="shared" si="10"/>
        <v>6.6112668191756594</v>
      </c>
      <c r="N174">
        <f t="shared" si="11"/>
        <v>1.8887752874183612</v>
      </c>
      <c r="O174">
        <f t="shared" si="12"/>
        <v>0.60065505189191803</v>
      </c>
      <c r="P174">
        <f t="shared" si="13"/>
        <v>-2.2684349701708499</v>
      </c>
      <c r="Q174">
        <f t="shared" si="14"/>
        <v>2.7677519575516585</v>
      </c>
    </row>
    <row r="175" spans="1:17" hidden="1" x14ac:dyDescent="0.3">
      <c r="A175">
        <v>7</v>
      </c>
      <c r="B175">
        <v>0.68619245478948898</v>
      </c>
      <c r="C175">
        <v>1.3686146213658501</v>
      </c>
      <c r="D175">
        <v>0.68242216657636001</v>
      </c>
      <c r="E175">
        <v>0.16003671541942499</v>
      </c>
      <c r="F175">
        <v>0.15858294611737001</v>
      </c>
      <c r="G175">
        <v>0.33991968538569001</v>
      </c>
      <c r="H175">
        <v>0.34117117264984298</v>
      </c>
      <c r="I175">
        <v>3.9963022209154899</v>
      </c>
      <c r="J175">
        <v>26.795297644222</v>
      </c>
      <c r="K175">
        <v>5.6791834348264398</v>
      </c>
      <c r="L175">
        <v>4.4359236894559997</v>
      </c>
      <c r="M175">
        <f t="shared" si="10"/>
        <v>6.7050228343550105</v>
      </c>
      <c r="N175">
        <f t="shared" si="11"/>
        <v>1.9028569222990599</v>
      </c>
      <c r="O175">
        <f t="shared" si="12"/>
        <v>0.78108477043611546</v>
      </c>
      <c r="P175">
        <f t="shared" si="13"/>
        <v>-1.2432597453704402</v>
      </c>
      <c r="Q175">
        <f t="shared" si="14"/>
        <v>2.7883867428361673</v>
      </c>
    </row>
    <row r="176" spans="1:17" hidden="1" x14ac:dyDescent="0.3">
      <c r="A176">
        <v>7</v>
      </c>
      <c r="B176">
        <v>0.56554323196935896</v>
      </c>
      <c r="C176">
        <v>1.24796539854572</v>
      </c>
      <c r="D176">
        <v>0.68242216657636001</v>
      </c>
      <c r="E176">
        <v>0.15995789135514701</v>
      </c>
      <c r="F176">
        <v>0.15893626084336099</v>
      </c>
      <c r="G176">
        <v>0.34017263500480099</v>
      </c>
      <c r="H176">
        <v>0.342311585312084</v>
      </c>
      <c r="I176">
        <v>3.6113054665474502</v>
      </c>
      <c r="J176">
        <v>23.0632770648532</v>
      </c>
      <c r="K176">
        <v>5.50133412696617</v>
      </c>
      <c r="L176">
        <v>2.6655177095442499</v>
      </c>
      <c r="M176">
        <f t="shared" si="10"/>
        <v>6.3864099225321409</v>
      </c>
      <c r="N176">
        <f t="shared" si="11"/>
        <v>1.8541722830454987</v>
      </c>
      <c r="O176">
        <f t="shared" si="12"/>
        <v>0.48452205374666224</v>
      </c>
      <c r="P176">
        <f t="shared" si="13"/>
        <v>-2.83581641742192</v>
      </c>
      <c r="Q176">
        <f t="shared" si="14"/>
        <v>2.7170458022307256</v>
      </c>
    </row>
    <row r="177" spans="1:17" hidden="1" x14ac:dyDescent="0.3">
      <c r="A177">
        <v>7</v>
      </c>
      <c r="B177">
        <v>0.57308380839561701</v>
      </c>
      <c r="C177">
        <v>1.2555059749719699</v>
      </c>
      <c r="D177">
        <v>0.68242216657636001</v>
      </c>
      <c r="E177">
        <v>0.159645557422219</v>
      </c>
      <c r="F177">
        <v>0.15898322335666601</v>
      </c>
      <c r="G177">
        <v>0.34044448234951402</v>
      </c>
      <c r="H177">
        <v>0.34068403739056302</v>
      </c>
      <c r="I177">
        <v>3.6353021890446402</v>
      </c>
      <c r="J177">
        <v>23.483049658697901</v>
      </c>
      <c r="K177">
        <v>5.53198594831</v>
      </c>
      <c r="L177">
        <v>3.6182777198384302</v>
      </c>
      <c r="M177">
        <f t="shared" si="10"/>
        <v>6.4597242368093921</v>
      </c>
      <c r="N177">
        <f t="shared" si="11"/>
        <v>1.8655866290829568</v>
      </c>
      <c r="O177">
        <f t="shared" si="12"/>
        <v>0.65406487898686727</v>
      </c>
      <c r="P177">
        <f t="shared" si="13"/>
        <v>-1.9137082284715698</v>
      </c>
      <c r="Q177">
        <f t="shared" si="14"/>
        <v>2.7337720262552834</v>
      </c>
    </row>
    <row r="178" spans="1:17" hidden="1" x14ac:dyDescent="0.3">
      <c r="A178">
        <v>7</v>
      </c>
      <c r="B178">
        <v>0.45243458557548699</v>
      </c>
      <c r="C178">
        <v>1.13485675215184</v>
      </c>
      <c r="D178">
        <v>0.68242216657636001</v>
      </c>
      <c r="E178">
        <v>0.159761951482112</v>
      </c>
      <c r="F178">
        <v>0.15911845422003501</v>
      </c>
      <c r="G178">
        <v>0.340425768744677</v>
      </c>
      <c r="H178">
        <v>0.34199300063043198</v>
      </c>
      <c r="I178">
        <v>3.2881103775858702</v>
      </c>
      <c r="J178">
        <v>20.610330311870399</v>
      </c>
      <c r="K178">
        <v>5.1310912298679696</v>
      </c>
      <c r="L178">
        <v>2.0804379590612201</v>
      </c>
      <c r="M178">
        <f t="shared" si="10"/>
        <v>6.2681382146917155</v>
      </c>
      <c r="N178">
        <f t="shared" si="11"/>
        <v>1.8354793750949012</v>
      </c>
      <c r="O178">
        <f t="shared" si="12"/>
        <v>0.40545721482226554</v>
      </c>
      <c r="P178">
        <f t="shared" si="13"/>
        <v>-3.0506532708067495</v>
      </c>
      <c r="Q178">
        <f t="shared" si="14"/>
        <v>2.6896538022838947</v>
      </c>
    </row>
    <row r="179" spans="1:17" hidden="1" x14ac:dyDescent="0.3">
      <c r="A179">
        <v>7</v>
      </c>
      <c r="B179">
        <v>0.45620487378861602</v>
      </c>
      <c r="C179">
        <v>1.1423973285780999</v>
      </c>
      <c r="D179">
        <v>0.68619245478948898</v>
      </c>
      <c r="E179">
        <v>0.16052597070185601</v>
      </c>
      <c r="F179">
        <v>0.159379217573038</v>
      </c>
      <c r="G179">
        <v>0.339286098635603</v>
      </c>
      <c r="H179">
        <v>0.34020487778912301</v>
      </c>
      <c r="I179">
        <v>3.2921767091452199</v>
      </c>
      <c r="J179">
        <v>20.936537561233902</v>
      </c>
      <c r="K179">
        <v>5.0649779025711199</v>
      </c>
      <c r="L179">
        <v>2.9792570171445201</v>
      </c>
      <c r="M179">
        <f t="shared" si="10"/>
        <v>6.3594817079760766</v>
      </c>
      <c r="N179">
        <f t="shared" si="11"/>
        <v>1.8499468815747484</v>
      </c>
      <c r="O179">
        <f t="shared" si="12"/>
        <v>0.58820730799875132</v>
      </c>
      <c r="P179">
        <f t="shared" si="13"/>
        <v>-2.0857208854265998</v>
      </c>
      <c r="Q179">
        <f t="shared" si="14"/>
        <v>2.6959592293131394</v>
      </c>
    </row>
    <row r="180" spans="1:17" hidden="1" x14ac:dyDescent="0.3">
      <c r="A180">
        <v>7</v>
      </c>
      <c r="B180">
        <v>0.33932593918161502</v>
      </c>
      <c r="C180">
        <v>1.02174810575797</v>
      </c>
      <c r="D180">
        <v>0.68242216657636001</v>
      </c>
      <c r="E180">
        <v>0.159567599637816</v>
      </c>
      <c r="F180">
        <v>0.15929878368790501</v>
      </c>
      <c r="G180">
        <v>0.34067716428488998</v>
      </c>
      <c r="H180">
        <v>0.34167622818849003</v>
      </c>
      <c r="I180">
        <v>3.0008955371491099</v>
      </c>
      <c r="J180">
        <v>18.8137623103535</v>
      </c>
      <c r="K180">
        <v>4.5238521548472699</v>
      </c>
      <c r="L180">
        <v>1.6411146737626301</v>
      </c>
      <c r="M180">
        <f t="shared" si="10"/>
        <v>6.2693826151065624</v>
      </c>
      <c r="N180">
        <f t="shared" si="11"/>
        <v>1.8356778833065048</v>
      </c>
      <c r="O180">
        <f t="shared" si="12"/>
        <v>0.36276929872789704</v>
      </c>
      <c r="P180">
        <f t="shared" si="13"/>
        <v>-2.8827374810846398</v>
      </c>
      <c r="Q180">
        <f t="shared" si="14"/>
        <v>2.6899446899796948</v>
      </c>
    </row>
    <row r="181" spans="1:17" hidden="1" x14ac:dyDescent="0.3">
      <c r="A181">
        <v>7</v>
      </c>
      <c r="B181">
        <v>0.34309622739474399</v>
      </c>
      <c r="C181">
        <v>1.0255183939710999</v>
      </c>
      <c r="D181">
        <v>0.68242216657636001</v>
      </c>
      <c r="E181">
        <v>0.160137599691934</v>
      </c>
      <c r="F181">
        <v>0.15850712210038201</v>
      </c>
      <c r="G181">
        <v>0.33980458050465201</v>
      </c>
      <c r="H181">
        <v>0.34144261352218103</v>
      </c>
      <c r="I181">
        <v>3.0058746881541398</v>
      </c>
      <c r="J181">
        <v>19.051394575136701</v>
      </c>
      <c r="K181">
        <v>4.4900055496768898</v>
      </c>
      <c r="L181">
        <v>1.83787038032595</v>
      </c>
      <c r="M181">
        <f t="shared" si="10"/>
        <v>6.3380534957815762</v>
      </c>
      <c r="N181">
        <f t="shared" si="11"/>
        <v>1.8465717017161591</v>
      </c>
      <c r="O181">
        <f t="shared" si="12"/>
        <v>0.40932474581422446</v>
      </c>
      <c r="P181">
        <f t="shared" si="13"/>
        <v>-2.6521351693509398</v>
      </c>
      <c r="Q181">
        <f t="shared" si="14"/>
        <v>2.7059081491743235</v>
      </c>
    </row>
    <row r="182" spans="1:17" hidden="1" x14ac:dyDescent="0.3">
      <c r="A182">
        <v>7</v>
      </c>
      <c r="B182">
        <v>0.222447004574614</v>
      </c>
      <c r="C182">
        <v>0.90486917115097498</v>
      </c>
      <c r="D182">
        <v>0.68242216657636001</v>
      </c>
      <c r="E182">
        <v>0.16065168512071201</v>
      </c>
      <c r="F182">
        <v>0.15819318688506501</v>
      </c>
      <c r="G182">
        <v>0.33923810084156603</v>
      </c>
      <c r="H182">
        <v>0.34305407211077299</v>
      </c>
      <c r="I182">
        <v>2.73894435502545</v>
      </c>
      <c r="J182">
        <v>17.6091250585418</v>
      </c>
      <c r="K182">
        <v>3.4755044721320298</v>
      </c>
      <c r="L182">
        <v>0.68578969034479098</v>
      </c>
      <c r="M182">
        <f t="shared" si="10"/>
        <v>6.4291649540934825</v>
      </c>
      <c r="N182">
        <f t="shared" si="11"/>
        <v>1.8608446626455253</v>
      </c>
      <c r="O182">
        <f t="shared" si="12"/>
        <v>0.19732090574008007</v>
      </c>
      <c r="P182">
        <f t="shared" si="13"/>
        <v>-2.789714781787239</v>
      </c>
      <c r="Q182">
        <f t="shared" si="14"/>
        <v>2.7268232976387385</v>
      </c>
    </row>
    <row r="183" spans="1:17" hidden="1" x14ac:dyDescent="0.3">
      <c r="A183">
        <v>7</v>
      </c>
      <c r="B183">
        <v>0.22998758100087199</v>
      </c>
      <c r="C183">
        <v>0.91240974757723303</v>
      </c>
      <c r="D183">
        <v>0.68242216657636001</v>
      </c>
      <c r="E183">
        <v>0.15974001584175401</v>
      </c>
      <c r="F183">
        <v>0.15891560139437499</v>
      </c>
      <c r="G183">
        <v>0.34033761097187898</v>
      </c>
      <c r="H183">
        <v>0.34095304601229798</v>
      </c>
      <c r="I183">
        <v>2.7579306674401201</v>
      </c>
      <c r="J183">
        <v>17.7934917106206</v>
      </c>
      <c r="K183">
        <v>3.6140535673949401</v>
      </c>
      <c r="L183">
        <v>1.5679108280560701</v>
      </c>
      <c r="M183">
        <f t="shared" si="10"/>
        <v>6.4517545421605238</v>
      </c>
      <c r="N183">
        <f t="shared" si="11"/>
        <v>1.8643521158567853</v>
      </c>
      <c r="O183">
        <f t="shared" si="12"/>
        <v>0.43383718553630679</v>
      </c>
      <c r="P183">
        <f t="shared" si="13"/>
        <v>-2.0461427393388698</v>
      </c>
      <c r="Q183">
        <f t="shared" si="14"/>
        <v>2.7319630093641893</v>
      </c>
    </row>
    <row r="184" spans="1:17" hidden="1" x14ac:dyDescent="0.3">
      <c r="A184">
        <v>7</v>
      </c>
      <c r="B184">
        <v>0.109338358180742</v>
      </c>
      <c r="C184">
        <v>0.79176052475710301</v>
      </c>
      <c r="D184">
        <v>0.68242216657636001</v>
      </c>
      <c r="E184">
        <v>0.16048399802490401</v>
      </c>
      <c r="F184">
        <v>0.15834457363004101</v>
      </c>
      <c r="G184">
        <v>0.33945023644988298</v>
      </c>
      <c r="H184">
        <v>0.34275632139513001</v>
      </c>
      <c r="I184">
        <v>2.5438631221589199</v>
      </c>
      <c r="J184">
        <v>17.015140085601001</v>
      </c>
      <c r="K184">
        <v>2.1132100945181498</v>
      </c>
      <c r="L184">
        <v>0.51745539238739202</v>
      </c>
      <c r="M184">
        <f t="shared" si="10"/>
        <v>6.6887011087139907</v>
      </c>
      <c r="N184">
        <f t="shared" si="11"/>
        <v>1.9004197011364148</v>
      </c>
      <c r="O184">
        <f t="shared" si="12"/>
        <v>0.24486698872474449</v>
      </c>
      <c r="P184">
        <f t="shared" si="13"/>
        <v>-1.5957547021307579</v>
      </c>
      <c r="Q184">
        <f t="shared" si="14"/>
        <v>2.7848153155261897</v>
      </c>
    </row>
    <row r="185" spans="1:17" hidden="1" x14ac:dyDescent="0.3">
      <c r="A185">
        <v>7</v>
      </c>
      <c r="B185">
        <v>0.113108646393871</v>
      </c>
      <c r="C185">
        <v>0.79930110118336095</v>
      </c>
      <c r="D185">
        <v>0.68619245478948898</v>
      </c>
      <c r="E185">
        <v>0.16059255101193201</v>
      </c>
      <c r="F185">
        <v>0.15934339091215799</v>
      </c>
      <c r="G185">
        <v>0.33921865656654698</v>
      </c>
      <c r="H185">
        <v>0.34045335251769998</v>
      </c>
      <c r="I185">
        <v>2.5489922897783899</v>
      </c>
      <c r="J185">
        <v>17.141861700567301</v>
      </c>
      <c r="K185">
        <v>2.1610844769859101</v>
      </c>
      <c r="L185">
        <v>1.4231412999234301</v>
      </c>
      <c r="M185">
        <f t="shared" si="10"/>
        <v>6.7249562775482614</v>
      </c>
      <c r="N185">
        <f t="shared" si="11"/>
        <v>1.9058254239869556</v>
      </c>
      <c r="O185">
        <f t="shared" si="12"/>
        <v>0.65853108246295955</v>
      </c>
      <c r="P185">
        <f t="shared" si="13"/>
        <v>-0.73794317706248003</v>
      </c>
      <c r="Q185">
        <f t="shared" si="14"/>
        <v>2.7773919848355435</v>
      </c>
    </row>
    <row r="186" spans="1:17" hidden="1" x14ac:dyDescent="0.3">
      <c r="A186">
        <v>7</v>
      </c>
      <c r="B186">
        <v>4.2189525104914196</v>
      </c>
      <c r="C186">
        <v>4.8033471835264203</v>
      </c>
      <c r="D186">
        <v>0.58439467303500503</v>
      </c>
      <c r="E186">
        <v>0.16041241086147401</v>
      </c>
      <c r="F186">
        <v>0.15865224501483</v>
      </c>
      <c r="G186">
        <v>0.34767321500526799</v>
      </c>
      <c r="H186">
        <v>0.40871313929570702</v>
      </c>
      <c r="I186">
        <v>497.97572147307</v>
      </c>
      <c r="J186">
        <v>945.19292770066397</v>
      </c>
      <c r="K186">
        <v>325.27415919558302</v>
      </c>
      <c r="L186">
        <v>1867.43166143038</v>
      </c>
      <c r="M186">
        <f t="shared" si="10"/>
        <v>1.8980703013084124</v>
      </c>
      <c r="N186">
        <f t="shared" si="11"/>
        <v>0.64083773917955678</v>
      </c>
      <c r="O186">
        <f t="shared" si="12"/>
        <v>5.7411005720485724</v>
      </c>
      <c r="P186">
        <f t="shared" si="13"/>
        <v>1542.157502234797</v>
      </c>
      <c r="Q186">
        <f t="shared" si="14"/>
        <v>1.0965838135577521</v>
      </c>
    </row>
    <row r="187" spans="1:17" hidden="1" x14ac:dyDescent="0.3">
      <c r="A187">
        <v>7</v>
      </c>
      <c r="B187">
        <v>0</v>
      </c>
      <c r="C187">
        <v>0.68242216657636001</v>
      </c>
      <c r="D187">
        <v>0.68242216657636001</v>
      </c>
      <c r="E187">
        <v>0.16015045300325201</v>
      </c>
      <c r="F187">
        <v>0.158530743442473</v>
      </c>
      <c r="G187">
        <v>0.34064971986672998</v>
      </c>
      <c r="H187">
        <v>0.34164326467231099</v>
      </c>
      <c r="I187">
        <v>2.4494897427831699</v>
      </c>
      <c r="J187">
        <v>17.213788387173299</v>
      </c>
      <c r="K187">
        <v>0.25567570336233902</v>
      </c>
      <c r="L187">
        <v>0.85659792266274304</v>
      </c>
      <c r="M187">
        <f t="shared" si="10"/>
        <v>7.0274996814702204</v>
      </c>
      <c r="N187">
        <f t="shared" si="11"/>
        <v>1.9498309784723618</v>
      </c>
      <c r="O187">
        <f t="shared" si="12"/>
        <v>3.350329778691516</v>
      </c>
      <c r="P187">
        <f t="shared" si="13"/>
        <v>0.60092221930040401</v>
      </c>
      <c r="Q187">
        <f t="shared" si="14"/>
        <v>2.8572210487453216</v>
      </c>
    </row>
    <row r="188" spans="1:17" hidden="1" x14ac:dyDescent="0.3">
      <c r="A188">
        <v>7</v>
      </c>
      <c r="B188">
        <v>4.2114119340651603</v>
      </c>
      <c r="C188">
        <v>4.7958066071001699</v>
      </c>
      <c r="D188">
        <v>0.58439467303500503</v>
      </c>
      <c r="E188">
        <v>0.160334870305677</v>
      </c>
      <c r="F188">
        <v>0.15858147662989</v>
      </c>
      <c r="G188">
        <v>0.34541224916669799</v>
      </c>
      <c r="H188">
        <v>0.42769931041588599</v>
      </c>
      <c r="I188">
        <v>541.08001236047403</v>
      </c>
      <c r="J188">
        <v>809.33118708722498</v>
      </c>
      <c r="K188">
        <v>281.00051178897701</v>
      </c>
      <c r="L188">
        <v>776.92384826432794</v>
      </c>
      <c r="M188">
        <f t="shared" si="10"/>
        <v>1.4957698835639834</v>
      </c>
      <c r="N188">
        <f t="shared" si="11"/>
        <v>0.40264104657352962</v>
      </c>
      <c r="O188">
        <f t="shared" si="12"/>
        <v>2.7648485168873091</v>
      </c>
      <c r="P188">
        <f t="shared" si="13"/>
        <v>495.92333647535094</v>
      </c>
      <c r="Q188">
        <f t="shared" si="14"/>
        <v>0.68898822174823016</v>
      </c>
    </row>
    <row r="189" spans="1:17" hidden="1" x14ac:dyDescent="0.3">
      <c r="A189">
        <v>7</v>
      </c>
      <c r="B189">
        <v>29.807898612998301</v>
      </c>
      <c r="C189">
        <v>30.399833862459602</v>
      </c>
      <c r="D189">
        <v>0.59193524946126497</v>
      </c>
      <c r="E189">
        <v>0.160718371235927</v>
      </c>
      <c r="F189">
        <v>0.15823260688509699</v>
      </c>
      <c r="G189">
        <v>0.39478582159337799</v>
      </c>
      <c r="H189">
        <v>0.38662911512745302</v>
      </c>
      <c r="I189">
        <v>2222391.2510043001</v>
      </c>
      <c r="J189">
        <v>4302062.7224566201</v>
      </c>
      <c r="K189">
        <v>2871451.8585270699</v>
      </c>
      <c r="L189">
        <v>3905292.9602628201</v>
      </c>
      <c r="M189">
        <f t="shared" si="10"/>
        <v>1.9357809838895448</v>
      </c>
      <c r="N189">
        <f t="shared" si="11"/>
        <v>0.66051085429868595</v>
      </c>
      <c r="O189">
        <f t="shared" si="12"/>
        <v>1.3600412448725732</v>
      </c>
      <c r="P189">
        <f t="shared" si="13"/>
        <v>1033841.1017357502</v>
      </c>
      <c r="Q189">
        <f t="shared" si="14"/>
        <v>1.1158498415152558</v>
      </c>
    </row>
    <row r="190" spans="1:17" hidden="1" x14ac:dyDescent="0.3">
      <c r="A190">
        <v>7</v>
      </c>
      <c r="B190">
        <v>4.2227227987045497</v>
      </c>
      <c r="C190">
        <v>4.85990150672336</v>
      </c>
      <c r="D190">
        <v>0.63717870801881205</v>
      </c>
      <c r="E190">
        <v>0.16031171233907199</v>
      </c>
      <c r="F190">
        <v>0.159390322316903</v>
      </c>
      <c r="G190">
        <v>0.34220635325939303</v>
      </c>
      <c r="H190">
        <v>0.39910677188368099</v>
      </c>
      <c r="I190">
        <v>686.54622685686502</v>
      </c>
      <c r="J190">
        <v>852.86165343400899</v>
      </c>
      <c r="K190">
        <v>240.202956334221</v>
      </c>
      <c r="L190">
        <v>301.83959622794299</v>
      </c>
      <c r="M190">
        <f t="shared" si="10"/>
        <v>1.2422494219195794</v>
      </c>
      <c r="N190">
        <f t="shared" si="11"/>
        <v>0.21692378615068125</v>
      </c>
      <c r="O190">
        <f t="shared" si="12"/>
        <v>1.25660233676708</v>
      </c>
      <c r="P190">
        <f t="shared" si="13"/>
        <v>61.636639893721991</v>
      </c>
      <c r="Q190">
        <f t="shared" si="14"/>
        <v>0.34044418531367093</v>
      </c>
    </row>
    <row r="191" spans="1:17" hidden="1" x14ac:dyDescent="0.3">
      <c r="A191">
        <v>7</v>
      </c>
      <c r="B191">
        <v>4.4489400914922896</v>
      </c>
      <c r="C191">
        <v>5.0823485112979796</v>
      </c>
      <c r="D191">
        <v>0.63340841980568197</v>
      </c>
      <c r="E191">
        <v>0.159749697935549</v>
      </c>
      <c r="F191">
        <v>0.15842284273627399</v>
      </c>
      <c r="G191">
        <v>0.33849014106101299</v>
      </c>
      <c r="H191">
        <v>0.392588123446729</v>
      </c>
      <c r="I191">
        <v>695.56322258129705</v>
      </c>
      <c r="J191">
        <v>796.45190652497604</v>
      </c>
      <c r="K191">
        <v>173.65072339441201</v>
      </c>
      <c r="L191">
        <v>162.590784210425</v>
      </c>
      <c r="M191">
        <f t="shared" si="10"/>
        <v>1.1450460298479728</v>
      </c>
      <c r="N191">
        <f t="shared" si="11"/>
        <v>0.13544483693876241</v>
      </c>
      <c r="O191">
        <f t="shared" si="12"/>
        <v>0.93630928240438926</v>
      </c>
      <c r="P191">
        <f t="shared" si="13"/>
        <v>-11.059939183987012</v>
      </c>
      <c r="Q191">
        <f t="shared" si="14"/>
        <v>0.21383491709869074</v>
      </c>
    </row>
    <row r="192" spans="1:17" hidden="1" x14ac:dyDescent="0.3">
      <c r="A192">
        <v>7</v>
      </c>
      <c r="B192">
        <v>4.1887902047863896</v>
      </c>
      <c r="C192">
        <v>4.86367179493649</v>
      </c>
      <c r="D192">
        <v>0.67488159015010196</v>
      </c>
      <c r="E192">
        <v>0.15945876927172301</v>
      </c>
      <c r="F192">
        <v>0.159196006342923</v>
      </c>
      <c r="G192">
        <v>0.34141047923853002</v>
      </c>
      <c r="H192">
        <v>0.35256082019976998</v>
      </c>
      <c r="I192">
        <v>1043.58903047592</v>
      </c>
      <c r="J192">
        <v>1262.12121697878</v>
      </c>
      <c r="K192">
        <v>-3947.2763680942398</v>
      </c>
      <c r="L192">
        <v>2340.0050882278802</v>
      </c>
      <c r="M192">
        <f t="shared" si="10"/>
        <v>1.2094044495688119</v>
      </c>
      <c r="N192">
        <f t="shared" si="11"/>
        <v>0.19012804800417787</v>
      </c>
      <c r="O192">
        <f t="shared" si="12"/>
        <v>-0.59281511351525751</v>
      </c>
      <c r="P192">
        <f t="shared" si="13"/>
        <v>6287.28145632212</v>
      </c>
      <c r="Q192">
        <f t="shared" si="14"/>
        <v>0.28172060221985235</v>
      </c>
    </row>
    <row r="193" spans="1:17" hidden="1" x14ac:dyDescent="0.3">
      <c r="A193">
        <v>7</v>
      </c>
      <c r="B193">
        <v>4.2453445279833204</v>
      </c>
      <c r="C193">
        <v>4.9277666945596801</v>
      </c>
      <c r="D193">
        <v>0.68242216657636101</v>
      </c>
      <c r="E193">
        <v>0.160557234354335</v>
      </c>
      <c r="F193">
        <v>0.15861345290710299</v>
      </c>
      <c r="G193">
        <v>0.338677154734429</v>
      </c>
      <c r="H193">
        <v>0.341300982558569</v>
      </c>
      <c r="I193">
        <v>1058.04227634429</v>
      </c>
      <c r="J193">
        <v>1519.71509560304</v>
      </c>
      <c r="K193">
        <v>-2995.3730145865402</v>
      </c>
      <c r="L193">
        <v>2629.8374673772801</v>
      </c>
      <c r="M193">
        <f t="shared" si="10"/>
        <v>1.4363462874601811</v>
      </c>
      <c r="N193">
        <f t="shared" si="11"/>
        <v>0.36210258881109991</v>
      </c>
      <c r="O193">
        <f t="shared" si="12"/>
        <v>-0.877966602012766</v>
      </c>
      <c r="P193">
        <f t="shared" si="13"/>
        <v>5625.2104819638207</v>
      </c>
      <c r="Q193">
        <f t="shared" si="14"/>
        <v>0.53061375574555347</v>
      </c>
    </row>
    <row r="194" spans="1:17" hidden="1" x14ac:dyDescent="0.3">
      <c r="A194">
        <v>7</v>
      </c>
      <c r="B194">
        <v>4.0492895409006104</v>
      </c>
      <c r="C194">
        <v>4.7128602664113304</v>
      </c>
      <c r="D194">
        <v>0.66357072551071505</v>
      </c>
      <c r="E194">
        <v>0.16005738872396599</v>
      </c>
      <c r="F194">
        <v>0.15828306653058599</v>
      </c>
      <c r="G194">
        <v>0.34118710607405001</v>
      </c>
      <c r="H194">
        <v>0.367374079698153</v>
      </c>
      <c r="I194">
        <v>438.764645055659</v>
      </c>
      <c r="J194">
        <v>401.45252088882802</v>
      </c>
      <c r="K194">
        <v>-1816.3294871303101</v>
      </c>
      <c r="L194">
        <v>566.26229178901701</v>
      </c>
      <c r="M194">
        <f t="shared" si="10"/>
        <v>0.91496096007895578</v>
      </c>
      <c r="N194">
        <f t="shared" si="11"/>
        <v>-8.8873881197236368E-2</v>
      </c>
      <c r="O194">
        <f t="shared" si="12"/>
        <v>-0.31176187789786802</v>
      </c>
      <c r="P194">
        <f t="shared" si="13"/>
        <v>2382.5917789193272</v>
      </c>
      <c r="Q194">
        <f t="shared" si="14"/>
        <v>-0.13393279386885884</v>
      </c>
    </row>
    <row r="195" spans="1:17" hidden="1" x14ac:dyDescent="0.3">
      <c r="A195">
        <v>7</v>
      </c>
      <c r="B195">
        <v>4.1586278990813499</v>
      </c>
      <c r="C195">
        <v>4.82973920101833</v>
      </c>
      <c r="D195">
        <v>0.67111130193697299</v>
      </c>
      <c r="E195">
        <v>0.159796704008763</v>
      </c>
      <c r="F195">
        <v>0.15825131089272801</v>
      </c>
      <c r="G195">
        <v>0.33924011543518501</v>
      </c>
      <c r="H195">
        <v>0.350950489375987</v>
      </c>
      <c r="I195">
        <v>419.65406628788702</v>
      </c>
      <c r="J195">
        <v>424.484705373417</v>
      </c>
      <c r="K195">
        <v>-1125.1252396964601</v>
      </c>
      <c r="L195">
        <v>522.94874666652095</v>
      </c>
      <c r="M195">
        <f t="shared" ref="M195:M231" si="15">J195/I195</f>
        <v>1.0115110026890961</v>
      </c>
      <c r="N195">
        <f t="shared" ref="N195:N231" si="16">LN(M195)</f>
        <v>1.1445255163236146E-2</v>
      </c>
      <c r="O195">
        <f t="shared" ref="O195:O231" si="17">L195/K195</f>
        <v>-0.46479158783035013</v>
      </c>
      <c r="P195">
        <f t="shared" ref="P195:P231" si="18">L195-K195</f>
        <v>1648.073986362981</v>
      </c>
      <c r="Q195">
        <f t="shared" ref="Q195:Q231" si="19">N195/(C195-B195)</f>
        <v>1.70541833078992E-2</v>
      </c>
    </row>
    <row r="196" spans="1:17" hidden="1" x14ac:dyDescent="0.3">
      <c r="A196">
        <v>7</v>
      </c>
      <c r="B196">
        <v>3.90224830058858</v>
      </c>
      <c r="C196">
        <v>4.5507378732467796</v>
      </c>
      <c r="D196">
        <v>0.64848957265819895</v>
      </c>
      <c r="E196">
        <v>0.16041399947700499</v>
      </c>
      <c r="F196">
        <v>0.158808282423547</v>
      </c>
      <c r="G196">
        <v>0.34151979736683002</v>
      </c>
      <c r="H196">
        <v>0.387016467386678</v>
      </c>
      <c r="I196">
        <v>418.42332005936601</v>
      </c>
      <c r="J196">
        <v>327.79344410548902</v>
      </c>
      <c r="K196">
        <v>3176.0817902622698</v>
      </c>
      <c r="L196">
        <v>411.11988317147598</v>
      </c>
      <c r="M196">
        <f t="shared" si="15"/>
        <v>0.78340147021198914</v>
      </c>
      <c r="N196">
        <f t="shared" si="16"/>
        <v>-0.24410998104551773</v>
      </c>
      <c r="O196">
        <f t="shared" si="17"/>
        <v>0.1294424735634806</v>
      </c>
      <c r="P196">
        <f t="shared" si="18"/>
        <v>-2764.9619070907938</v>
      </c>
      <c r="Q196">
        <f t="shared" si="19"/>
        <v>-0.37642853692295397</v>
      </c>
    </row>
    <row r="197" spans="1:17" hidden="1" x14ac:dyDescent="0.3">
      <c r="A197">
        <v>7</v>
      </c>
      <c r="B197">
        <v>4.0794518466056404</v>
      </c>
      <c r="C197">
        <v>4.7317117074769701</v>
      </c>
      <c r="D197">
        <v>0.65225986087132704</v>
      </c>
      <c r="E197">
        <v>0.160347965920873</v>
      </c>
      <c r="F197">
        <v>0.15804640120827501</v>
      </c>
      <c r="G197">
        <v>0.33795942554880598</v>
      </c>
      <c r="H197">
        <v>0.37450982117861498</v>
      </c>
      <c r="I197">
        <v>481.57890507974798</v>
      </c>
      <c r="J197">
        <v>721.10983266854703</v>
      </c>
      <c r="K197">
        <v>3805.3073601460501</v>
      </c>
      <c r="L197">
        <v>1074.9498472632299</v>
      </c>
      <c r="M197">
        <f t="shared" si="15"/>
        <v>1.4973866692710169</v>
      </c>
      <c r="N197">
        <f t="shared" si="16"/>
        <v>0.40372136819101895</v>
      </c>
      <c r="O197">
        <f t="shared" si="17"/>
        <v>0.28248699658835774</v>
      </c>
      <c r="P197">
        <f t="shared" si="18"/>
        <v>-2730.3575128828202</v>
      </c>
      <c r="Q197">
        <f t="shared" si="19"/>
        <v>0.61895786083126836</v>
      </c>
    </row>
    <row r="198" spans="1:17" hidden="1" x14ac:dyDescent="0.3">
      <c r="A198">
        <v>7</v>
      </c>
      <c r="B198">
        <v>3.7778287895553202</v>
      </c>
      <c r="C198">
        <v>4.4225480740003897</v>
      </c>
      <c r="D198">
        <v>0.64471928444506998</v>
      </c>
      <c r="E198">
        <v>0.16069691295246</v>
      </c>
      <c r="F198">
        <v>0.15917711101347501</v>
      </c>
      <c r="G198">
        <v>0.34139605015211699</v>
      </c>
      <c r="H198">
        <v>0.39249365720245499</v>
      </c>
      <c r="I198">
        <v>167.454698392767</v>
      </c>
      <c r="J198">
        <v>287.14267024959798</v>
      </c>
      <c r="K198">
        <v>632.06627315575304</v>
      </c>
      <c r="L198">
        <v>423.01364929294601</v>
      </c>
      <c r="M198">
        <f t="shared" si="15"/>
        <v>1.7147483648150703</v>
      </c>
      <c r="N198">
        <f t="shared" si="16"/>
        <v>0.53926634379722993</v>
      </c>
      <c r="O198">
        <f t="shared" si="17"/>
        <v>0.66925521461688164</v>
      </c>
      <c r="P198">
        <f t="shared" si="18"/>
        <v>-209.05262386280702</v>
      </c>
      <c r="Q198">
        <f t="shared" si="19"/>
        <v>0.83643588272901392</v>
      </c>
    </row>
    <row r="199" spans="1:17" hidden="1" x14ac:dyDescent="0.3">
      <c r="A199">
        <v>7</v>
      </c>
      <c r="B199">
        <v>3.9776540648511598</v>
      </c>
      <c r="C199">
        <v>4.6223733492962298</v>
      </c>
      <c r="D199">
        <v>0.64471928444506998</v>
      </c>
      <c r="E199">
        <v>0.160069853440622</v>
      </c>
      <c r="F199">
        <v>0.15838911782300899</v>
      </c>
      <c r="G199">
        <v>0.33820038406688402</v>
      </c>
      <c r="H199">
        <v>0.382324365041185</v>
      </c>
      <c r="I199">
        <v>178.11644904359301</v>
      </c>
      <c r="J199">
        <v>525.59047215088299</v>
      </c>
      <c r="K199">
        <v>637.944877250074</v>
      </c>
      <c r="L199">
        <v>270.70670015180298</v>
      </c>
      <c r="M199">
        <f t="shared" si="15"/>
        <v>2.9508250078702596</v>
      </c>
      <c r="N199">
        <f t="shared" si="16"/>
        <v>1.0820847949379633</v>
      </c>
      <c r="O199">
        <f t="shared" si="17"/>
        <v>0.42434183548696497</v>
      </c>
      <c r="P199">
        <f t="shared" si="18"/>
        <v>-367.23817709827102</v>
      </c>
      <c r="Q199">
        <f t="shared" si="19"/>
        <v>1.6783813064772017</v>
      </c>
    </row>
    <row r="200" spans="1:17" hidden="1" x14ac:dyDescent="0.3">
      <c r="A200">
        <v>7</v>
      </c>
      <c r="B200">
        <v>3.6722607195877002</v>
      </c>
      <c r="C200">
        <v>4.3169800040327697</v>
      </c>
      <c r="D200">
        <v>0.64471928444506998</v>
      </c>
      <c r="E200">
        <v>0.16008011552561999</v>
      </c>
      <c r="F200">
        <v>0.158390695771426</v>
      </c>
      <c r="G200">
        <v>0.34203052375771698</v>
      </c>
      <c r="H200">
        <v>0.38907375746788198</v>
      </c>
      <c r="I200">
        <v>133.563619932248</v>
      </c>
      <c r="J200">
        <v>277.23148424221398</v>
      </c>
      <c r="K200">
        <v>441.02099535695498</v>
      </c>
      <c r="L200">
        <v>298.77585173509402</v>
      </c>
      <c r="M200">
        <f t="shared" si="15"/>
        <v>2.0756511719496933</v>
      </c>
      <c r="N200">
        <f t="shared" si="16"/>
        <v>0.73027492225923407</v>
      </c>
      <c r="O200">
        <f t="shared" si="17"/>
        <v>0.67746400937957585</v>
      </c>
      <c r="P200">
        <f t="shared" si="18"/>
        <v>-142.24514362186096</v>
      </c>
      <c r="Q200">
        <f t="shared" si="19"/>
        <v>1.1327021540666415</v>
      </c>
    </row>
    <row r="201" spans="1:17" hidden="1" x14ac:dyDescent="0.3">
      <c r="A201">
        <v>7</v>
      </c>
      <c r="B201">
        <v>3.8570048420310301</v>
      </c>
      <c r="C201">
        <v>4.5054944146892302</v>
      </c>
      <c r="D201">
        <v>0.64848957265819895</v>
      </c>
      <c r="E201">
        <v>0.15959942318908199</v>
      </c>
      <c r="F201">
        <v>0.15828467554488701</v>
      </c>
      <c r="G201">
        <v>0.33893239099362898</v>
      </c>
      <c r="H201">
        <v>0.37656190522691801</v>
      </c>
      <c r="I201">
        <v>140.212931526842</v>
      </c>
      <c r="J201">
        <v>453.52822588010503</v>
      </c>
      <c r="K201">
        <v>436.51401877642598</v>
      </c>
      <c r="L201">
        <v>183.983139765434</v>
      </c>
      <c r="M201">
        <f t="shared" si="15"/>
        <v>3.2345677459377757</v>
      </c>
      <c r="N201">
        <f t="shared" si="16"/>
        <v>1.1738953010770532</v>
      </c>
      <c r="O201">
        <f t="shared" si="17"/>
        <v>0.42148277455360855</v>
      </c>
      <c r="P201">
        <f t="shared" si="18"/>
        <v>-252.53087901099198</v>
      </c>
      <c r="Q201">
        <f t="shared" si="19"/>
        <v>1.8101991929726511</v>
      </c>
    </row>
    <row r="202" spans="1:17" hidden="1" x14ac:dyDescent="0.3">
      <c r="A202">
        <v>7</v>
      </c>
      <c r="B202">
        <v>3.57046293783322</v>
      </c>
      <c r="C202">
        <v>4.2227227987045497</v>
      </c>
      <c r="D202">
        <v>0.65225986087132704</v>
      </c>
      <c r="E202">
        <v>0.15990626853314099</v>
      </c>
      <c r="F202">
        <v>0.15891724609608501</v>
      </c>
      <c r="G202">
        <v>0.34196133823971703</v>
      </c>
      <c r="H202">
        <v>0.381578593815665</v>
      </c>
      <c r="I202">
        <v>124.23307415138601</v>
      </c>
      <c r="J202">
        <v>281.69545810932402</v>
      </c>
      <c r="K202">
        <v>399.36348410938803</v>
      </c>
      <c r="L202">
        <v>267.203961097682</v>
      </c>
      <c r="M202">
        <f t="shared" si="15"/>
        <v>2.2674755497562584</v>
      </c>
      <c r="N202">
        <f t="shared" si="16"/>
        <v>0.81866712004108411</v>
      </c>
      <c r="O202">
        <f t="shared" si="17"/>
        <v>0.66907459427235272</v>
      </c>
      <c r="P202">
        <f t="shared" si="18"/>
        <v>-132.15952301170603</v>
      </c>
      <c r="Q202">
        <f t="shared" si="19"/>
        <v>1.2551241754282674</v>
      </c>
    </row>
    <row r="203" spans="1:17" hidden="1" x14ac:dyDescent="0.3">
      <c r="A203">
        <v>7</v>
      </c>
      <c r="B203">
        <v>3.7288150427846398</v>
      </c>
      <c r="C203">
        <v>4.3886154800822297</v>
      </c>
      <c r="D203">
        <v>0.65980043729758597</v>
      </c>
      <c r="E203">
        <v>0.159707086977907</v>
      </c>
      <c r="F203">
        <v>0.159084505020163</v>
      </c>
      <c r="G203">
        <v>0.33896375359770903</v>
      </c>
      <c r="H203">
        <v>0.36582583676383601</v>
      </c>
      <c r="I203">
        <v>129.25016135808599</v>
      </c>
      <c r="J203">
        <v>435.75537995949497</v>
      </c>
      <c r="K203">
        <v>394.8192135914</v>
      </c>
      <c r="L203">
        <v>164.12473744351399</v>
      </c>
      <c r="M203">
        <f t="shared" si="15"/>
        <v>3.3714107230569721</v>
      </c>
      <c r="N203">
        <f t="shared" si="16"/>
        <v>1.2153312689537126</v>
      </c>
      <c r="O203">
        <f t="shared" si="17"/>
        <v>0.41569592307979053</v>
      </c>
      <c r="P203">
        <f t="shared" si="18"/>
        <v>-230.69447614788601</v>
      </c>
      <c r="Q203">
        <f t="shared" si="19"/>
        <v>1.8419679652403165</v>
      </c>
    </row>
    <row r="204" spans="1:17" hidden="1" x14ac:dyDescent="0.3">
      <c r="A204">
        <v>7</v>
      </c>
      <c r="B204">
        <v>3.4686651560787398</v>
      </c>
      <c r="C204">
        <v>4.1246953051631898</v>
      </c>
      <c r="D204">
        <v>0.656030149084457</v>
      </c>
      <c r="E204">
        <v>0.159660738599261</v>
      </c>
      <c r="F204">
        <v>0.15821194914178</v>
      </c>
      <c r="G204">
        <v>0.34199682702263001</v>
      </c>
      <c r="H204">
        <v>0.37488490735560898</v>
      </c>
      <c r="I204">
        <v>120.227184411777</v>
      </c>
      <c r="J204">
        <v>282.920007248959</v>
      </c>
      <c r="K204">
        <v>390.24549964467599</v>
      </c>
      <c r="L204">
        <v>260.848848027923</v>
      </c>
      <c r="M204">
        <f t="shared" si="15"/>
        <v>2.3532116187630292</v>
      </c>
      <c r="N204">
        <f t="shared" si="16"/>
        <v>0.85578104142714473</v>
      </c>
      <c r="O204">
        <f t="shared" si="17"/>
        <v>0.66842243732581041</v>
      </c>
      <c r="P204">
        <f t="shared" si="18"/>
        <v>-129.39665161675299</v>
      </c>
      <c r="Q204">
        <f t="shared" si="19"/>
        <v>1.3044843177123266</v>
      </c>
    </row>
    <row r="205" spans="1:17" hidden="1" x14ac:dyDescent="0.3">
      <c r="A205">
        <v>7</v>
      </c>
      <c r="B205">
        <v>3.60062524353825</v>
      </c>
      <c r="C205">
        <v>4.2679662572621</v>
      </c>
      <c r="D205">
        <v>0.66734101372384402</v>
      </c>
      <c r="E205">
        <v>0.16002451793080399</v>
      </c>
      <c r="F205">
        <v>0.15877932085388</v>
      </c>
      <c r="G205">
        <v>0.33872836665267397</v>
      </c>
      <c r="H205">
        <v>0.35743408079600397</v>
      </c>
      <c r="I205">
        <v>123.79461383627201</v>
      </c>
      <c r="J205">
        <v>420.43022215682402</v>
      </c>
      <c r="K205">
        <v>383.29731782597901</v>
      </c>
      <c r="L205">
        <v>143.66688363503999</v>
      </c>
      <c r="M205">
        <f t="shared" si="15"/>
        <v>3.3961915557398616</v>
      </c>
      <c r="N205">
        <f t="shared" si="16"/>
        <v>1.2226546731421488</v>
      </c>
      <c r="O205">
        <f t="shared" si="17"/>
        <v>0.37481839019877061</v>
      </c>
      <c r="P205">
        <f t="shared" si="18"/>
        <v>-239.63043419093901</v>
      </c>
      <c r="Q205">
        <f t="shared" si="19"/>
        <v>1.8321287737427916</v>
      </c>
    </row>
    <row r="206" spans="1:17" hidden="1" x14ac:dyDescent="0.3">
      <c r="A206">
        <v>7</v>
      </c>
      <c r="B206">
        <v>3.3630970861111198</v>
      </c>
      <c r="C206">
        <v>4.0266678116218397</v>
      </c>
      <c r="D206">
        <v>0.66357072551071505</v>
      </c>
      <c r="E206">
        <v>0.160153087746149</v>
      </c>
      <c r="F206">
        <v>0.15854987671255799</v>
      </c>
      <c r="G206">
        <v>0.34110683329430802</v>
      </c>
      <c r="H206">
        <v>0.36838568074294098</v>
      </c>
      <c r="I206">
        <v>116.06169194253501</v>
      </c>
      <c r="J206">
        <v>280.49980070183301</v>
      </c>
      <c r="K206">
        <v>380.10909781213098</v>
      </c>
      <c r="L206">
        <v>274.81558411421997</v>
      </c>
      <c r="M206">
        <f t="shared" si="15"/>
        <v>2.4168164017522282</v>
      </c>
      <c r="N206">
        <f t="shared" si="16"/>
        <v>0.8824511376248223</v>
      </c>
      <c r="O206">
        <f t="shared" si="17"/>
        <v>0.72299133510886826</v>
      </c>
      <c r="P206">
        <f t="shared" si="18"/>
        <v>-105.29351369791101</v>
      </c>
      <c r="Q206">
        <f t="shared" si="19"/>
        <v>1.3298524237120921</v>
      </c>
    </row>
    <row r="207" spans="1:17" hidden="1" x14ac:dyDescent="0.3">
      <c r="A207">
        <v>7</v>
      </c>
      <c r="B207">
        <v>3.4762057325049902</v>
      </c>
      <c r="C207">
        <v>4.1473170344419703</v>
      </c>
      <c r="D207">
        <v>0.67111130193697299</v>
      </c>
      <c r="E207">
        <v>0.159805776698312</v>
      </c>
      <c r="F207">
        <v>0.15846618049036801</v>
      </c>
      <c r="G207">
        <v>0.339199261575301</v>
      </c>
      <c r="H207">
        <v>0.35144056891875097</v>
      </c>
      <c r="I207">
        <v>119.81676762417401</v>
      </c>
      <c r="J207">
        <v>398.43515173976601</v>
      </c>
      <c r="K207">
        <v>382.05171229800999</v>
      </c>
      <c r="L207">
        <v>135.18435698832201</v>
      </c>
      <c r="M207">
        <f t="shared" si="15"/>
        <v>3.3253705607342599</v>
      </c>
      <c r="N207">
        <f t="shared" si="16"/>
        <v>1.2015811147354514</v>
      </c>
      <c r="O207">
        <f t="shared" si="17"/>
        <v>0.35383785136100843</v>
      </c>
      <c r="P207">
        <f t="shared" si="18"/>
        <v>-246.86735530968798</v>
      </c>
      <c r="Q207">
        <f t="shared" si="19"/>
        <v>1.7904349267661184</v>
      </c>
    </row>
    <row r="208" spans="1:17" hidden="1" x14ac:dyDescent="0.3">
      <c r="A208">
        <v>7</v>
      </c>
      <c r="B208">
        <v>3.25752901614351</v>
      </c>
      <c r="C208">
        <v>3.9248700298673498</v>
      </c>
      <c r="D208">
        <v>0.66734101372384402</v>
      </c>
      <c r="E208">
        <v>0.160070241469906</v>
      </c>
      <c r="F208">
        <v>0.15854498061357</v>
      </c>
      <c r="G208">
        <v>0.34101675770742501</v>
      </c>
      <c r="H208">
        <v>0.36333430955338503</v>
      </c>
      <c r="I208">
        <v>111.876807836778</v>
      </c>
      <c r="J208">
        <v>274.03961071891399</v>
      </c>
      <c r="K208">
        <v>373.13348583309801</v>
      </c>
      <c r="L208">
        <v>279.900912143911</v>
      </c>
      <c r="M208">
        <f t="shared" si="15"/>
        <v>2.4494764913092841</v>
      </c>
      <c r="N208">
        <f t="shared" si="16"/>
        <v>0.89587432470783068</v>
      </c>
      <c r="O208">
        <f t="shared" si="17"/>
        <v>0.75013613832855042</v>
      </c>
      <c r="P208">
        <f t="shared" si="18"/>
        <v>-93.232573689187006</v>
      </c>
      <c r="Q208">
        <f t="shared" si="19"/>
        <v>1.342453567642649</v>
      </c>
    </row>
    <row r="209" spans="1:17" hidden="1" x14ac:dyDescent="0.3">
      <c r="A209">
        <v>7</v>
      </c>
      <c r="B209">
        <v>3.35178622147173</v>
      </c>
      <c r="C209">
        <v>4.0304380998349698</v>
      </c>
      <c r="D209">
        <v>0.67865187836323204</v>
      </c>
      <c r="E209">
        <v>0.16027219067600401</v>
      </c>
      <c r="F209">
        <v>0.159316759815786</v>
      </c>
      <c r="G209">
        <v>0.33872934372119001</v>
      </c>
      <c r="H209">
        <v>0.34592943609111099</v>
      </c>
      <c r="I209">
        <v>114.48886836783301</v>
      </c>
      <c r="J209">
        <v>372.76728342888799</v>
      </c>
      <c r="K209">
        <v>371.47649278192802</v>
      </c>
      <c r="L209">
        <v>151.44092821322201</v>
      </c>
      <c r="M209">
        <f t="shared" si="15"/>
        <v>3.2559260017423783</v>
      </c>
      <c r="N209">
        <f t="shared" si="16"/>
        <v>1.1804767211444389</v>
      </c>
      <c r="O209">
        <f t="shared" si="17"/>
        <v>0.40767297838715211</v>
      </c>
      <c r="P209">
        <f t="shared" si="18"/>
        <v>-220.03556456870601</v>
      </c>
      <c r="Q209">
        <f t="shared" si="19"/>
        <v>1.7394436805973206</v>
      </c>
    </row>
    <row r="210" spans="1:17" hidden="1" x14ac:dyDescent="0.3">
      <c r="A210">
        <v>7</v>
      </c>
      <c r="B210">
        <v>3.15196094617589</v>
      </c>
      <c r="C210">
        <v>3.8230722481128701</v>
      </c>
      <c r="D210">
        <v>0.67111130193697299</v>
      </c>
      <c r="E210">
        <v>0.15949596866666499</v>
      </c>
      <c r="F210">
        <v>0.159394671086801</v>
      </c>
      <c r="G210">
        <v>0.34161226100728698</v>
      </c>
      <c r="H210">
        <v>0.358461734143806</v>
      </c>
      <c r="I210">
        <v>107.146320968517</v>
      </c>
      <c r="J210">
        <v>265.57766254783502</v>
      </c>
      <c r="K210">
        <v>365.11113111021598</v>
      </c>
      <c r="L210">
        <v>284.18398087182902</v>
      </c>
      <c r="M210">
        <f t="shared" si="15"/>
        <v>2.4786447182434772</v>
      </c>
      <c r="N210">
        <f t="shared" si="16"/>
        <v>0.9077119262205261</v>
      </c>
      <c r="O210">
        <f t="shared" si="17"/>
        <v>0.77834926590074982</v>
      </c>
      <c r="P210">
        <f t="shared" si="18"/>
        <v>-80.927150238386957</v>
      </c>
      <c r="Q210">
        <f t="shared" si="19"/>
        <v>1.3525504988526682</v>
      </c>
    </row>
    <row r="211" spans="1:17" hidden="1" x14ac:dyDescent="0.3">
      <c r="A211">
        <v>7</v>
      </c>
      <c r="B211">
        <v>3.2311369986515999</v>
      </c>
      <c r="C211">
        <v>3.9097888770148401</v>
      </c>
      <c r="D211">
        <v>0.67865187836323104</v>
      </c>
      <c r="E211">
        <v>0.16006006348879101</v>
      </c>
      <c r="F211">
        <v>0.15870366149186799</v>
      </c>
      <c r="G211">
        <v>0.33914312349683201</v>
      </c>
      <c r="H211">
        <v>0.34394152390591998</v>
      </c>
      <c r="I211">
        <v>108.93633409999499</v>
      </c>
      <c r="J211">
        <v>345.43248008597101</v>
      </c>
      <c r="K211">
        <v>361.00602899788402</v>
      </c>
      <c r="L211">
        <v>152.76180777764199</v>
      </c>
      <c r="M211">
        <f t="shared" si="15"/>
        <v>3.1709574490444221</v>
      </c>
      <c r="N211">
        <f t="shared" si="16"/>
        <v>1.1540335766848537</v>
      </c>
      <c r="O211">
        <f t="shared" si="17"/>
        <v>0.42315583537951768</v>
      </c>
      <c r="P211">
        <f t="shared" si="18"/>
        <v>-208.24422122024203</v>
      </c>
      <c r="Q211">
        <f t="shared" si="19"/>
        <v>1.7004794556350895</v>
      </c>
    </row>
    <row r="212" spans="1:17" hidden="1" x14ac:dyDescent="0.3">
      <c r="A212">
        <v>7</v>
      </c>
      <c r="B212">
        <v>3.0426225879951501</v>
      </c>
      <c r="C212">
        <v>3.7137338899321199</v>
      </c>
      <c r="D212">
        <v>0.67111130193697299</v>
      </c>
      <c r="E212">
        <v>0.159803468634304</v>
      </c>
      <c r="F212">
        <v>0.15824091775785801</v>
      </c>
      <c r="G212">
        <v>0.34107528396984799</v>
      </c>
      <c r="H212">
        <v>0.35648972857234801</v>
      </c>
      <c r="I212">
        <v>100.364808580673</v>
      </c>
      <c r="J212">
        <v>253.56797733789199</v>
      </c>
      <c r="K212">
        <v>342.196836500671</v>
      </c>
      <c r="L212">
        <v>261.36398086113297</v>
      </c>
      <c r="M212">
        <f t="shared" si="15"/>
        <v>2.5264630194962674</v>
      </c>
      <c r="N212">
        <f t="shared" si="16"/>
        <v>0.92682030859392761</v>
      </c>
      <c r="O212">
        <f t="shared" si="17"/>
        <v>0.76378257477146627</v>
      </c>
      <c r="P212">
        <f t="shared" si="18"/>
        <v>-80.832855639538025</v>
      </c>
      <c r="Q212">
        <f t="shared" si="19"/>
        <v>1.3810232459488123</v>
      </c>
    </row>
    <row r="213" spans="1:17" hidden="1" x14ac:dyDescent="0.3">
      <c r="A213">
        <v>7</v>
      </c>
      <c r="B213">
        <v>3.1104877758314702</v>
      </c>
      <c r="C213">
        <v>3.7929099424078299</v>
      </c>
      <c r="D213">
        <v>0.68242216657636001</v>
      </c>
      <c r="E213">
        <v>0.16029846346600299</v>
      </c>
      <c r="F213">
        <v>0.15918698152892799</v>
      </c>
      <c r="G213">
        <v>0.338936198629398</v>
      </c>
      <c r="H213">
        <v>0.34145350314122003</v>
      </c>
      <c r="I213">
        <v>101.859301839121</v>
      </c>
      <c r="J213">
        <v>319.66295235381602</v>
      </c>
      <c r="K213">
        <v>339.57845599298702</v>
      </c>
      <c r="L213">
        <v>163.076173191143</v>
      </c>
      <c r="M213">
        <f t="shared" si="15"/>
        <v>3.1382794362629665</v>
      </c>
      <c r="N213">
        <f t="shared" si="16"/>
        <v>1.1436746995058449</v>
      </c>
      <c r="O213">
        <f t="shared" si="17"/>
        <v>0.48023121111814837</v>
      </c>
      <c r="P213">
        <f t="shared" si="18"/>
        <v>-176.50228280184402</v>
      </c>
      <c r="Q213">
        <f t="shared" si="19"/>
        <v>1.6759049683915468</v>
      </c>
    </row>
    <row r="214" spans="1:17" hidden="1" x14ac:dyDescent="0.3">
      <c r="A214">
        <v>7</v>
      </c>
      <c r="B214">
        <v>2.9332842298144102</v>
      </c>
      <c r="C214">
        <v>3.6081658199645101</v>
      </c>
      <c r="D214">
        <v>0.67488159015010196</v>
      </c>
      <c r="E214">
        <v>0.159785063006573</v>
      </c>
      <c r="F214">
        <v>0.15895732306417701</v>
      </c>
      <c r="G214">
        <v>0.34099223617671898</v>
      </c>
      <c r="H214">
        <v>0.35322400308641899</v>
      </c>
      <c r="I214">
        <v>92.952953443222896</v>
      </c>
      <c r="J214">
        <v>241.93653401646199</v>
      </c>
      <c r="K214">
        <v>316.19634444936702</v>
      </c>
      <c r="L214">
        <v>247.49440928548901</v>
      </c>
      <c r="M214">
        <f t="shared" si="15"/>
        <v>2.6027847965502309</v>
      </c>
      <c r="N214">
        <f t="shared" si="16"/>
        <v>0.95658194743146419</v>
      </c>
      <c r="O214">
        <f t="shared" si="17"/>
        <v>0.78272381585082063</v>
      </c>
      <c r="P214">
        <f t="shared" si="18"/>
        <v>-68.701935163878005</v>
      </c>
      <c r="Q214">
        <f t="shared" si="19"/>
        <v>1.4174070850246654</v>
      </c>
    </row>
    <row r="215" spans="1:17" hidden="1" x14ac:dyDescent="0.3">
      <c r="A215">
        <v>7</v>
      </c>
      <c r="B215">
        <v>2.9936088412244701</v>
      </c>
      <c r="C215">
        <v>3.6722607195877002</v>
      </c>
      <c r="D215">
        <v>0.67865187836323104</v>
      </c>
      <c r="E215">
        <v>0.159641848196551</v>
      </c>
      <c r="F215">
        <v>0.158221182383328</v>
      </c>
      <c r="G215">
        <v>0.33990320824748099</v>
      </c>
      <c r="H215">
        <v>0.34171997898963002</v>
      </c>
      <c r="I215">
        <v>94.750045639231999</v>
      </c>
      <c r="J215">
        <v>294.792104159323</v>
      </c>
      <c r="K215">
        <v>319.30861481527597</v>
      </c>
      <c r="L215">
        <v>150.71505415880301</v>
      </c>
      <c r="M215">
        <f t="shared" si="15"/>
        <v>3.1112608143933391</v>
      </c>
      <c r="N215">
        <f t="shared" si="16"/>
        <v>1.1350280505934516</v>
      </c>
      <c r="O215">
        <f t="shared" si="17"/>
        <v>0.47200434678529912</v>
      </c>
      <c r="P215">
        <f t="shared" si="18"/>
        <v>-168.59356065647296</v>
      </c>
      <c r="Q215">
        <f t="shared" si="19"/>
        <v>1.6724746321057975</v>
      </c>
    </row>
    <row r="216" spans="1:17" hidden="1" x14ac:dyDescent="0.3">
      <c r="A216">
        <v>7</v>
      </c>
      <c r="B216">
        <v>2.8239458716336601</v>
      </c>
      <c r="C216">
        <v>3.4988274617837698</v>
      </c>
      <c r="D216">
        <v>0.67488159015010196</v>
      </c>
      <c r="E216">
        <v>0.15949961663974699</v>
      </c>
      <c r="F216">
        <v>0.15877091726513501</v>
      </c>
      <c r="G216">
        <v>0.34128158321215601</v>
      </c>
      <c r="H216">
        <v>0.35147177320291101</v>
      </c>
      <c r="I216">
        <v>85.015626919334906</v>
      </c>
      <c r="J216">
        <v>228.96865488360999</v>
      </c>
      <c r="K216">
        <v>287.43660524578502</v>
      </c>
      <c r="L216">
        <v>219.84771493219401</v>
      </c>
      <c r="M216">
        <f t="shared" si="15"/>
        <v>2.6932537367613785</v>
      </c>
      <c r="N216">
        <f t="shared" si="16"/>
        <v>0.99075003024553387</v>
      </c>
      <c r="O216">
        <f t="shared" si="17"/>
        <v>0.76485635761041559</v>
      </c>
      <c r="P216">
        <f t="shared" si="18"/>
        <v>-67.588890313591008</v>
      </c>
      <c r="Q216">
        <f t="shared" si="19"/>
        <v>1.4680353482826038</v>
      </c>
    </row>
    <row r="217" spans="1:17" hidden="1" x14ac:dyDescent="0.3">
      <c r="A217">
        <v>7</v>
      </c>
      <c r="B217">
        <v>2.87295961840434</v>
      </c>
      <c r="C217">
        <v>3.5553817849807001</v>
      </c>
      <c r="D217">
        <v>0.68242216657636001</v>
      </c>
      <c r="E217">
        <v>0.16053107975306</v>
      </c>
      <c r="F217">
        <v>0.158357397135863</v>
      </c>
      <c r="G217">
        <v>0.33879889941445301</v>
      </c>
      <c r="H217">
        <v>0.340862986124365</v>
      </c>
      <c r="I217">
        <v>85.517585269990406</v>
      </c>
      <c r="J217">
        <v>272.385149791044</v>
      </c>
      <c r="K217">
        <v>282.01638022624002</v>
      </c>
      <c r="L217">
        <v>142.61047165277799</v>
      </c>
      <c r="M217">
        <f t="shared" si="15"/>
        <v>3.1851361206129454</v>
      </c>
      <c r="N217">
        <f t="shared" si="16"/>
        <v>1.1584950261369258</v>
      </c>
      <c r="O217">
        <f t="shared" si="17"/>
        <v>0.50568151941519357</v>
      </c>
      <c r="P217">
        <f t="shared" si="18"/>
        <v>-139.40590857346203</v>
      </c>
      <c r="Q217">
        <f t="shared" si="19"/>
        <v>1.6976222093560835</v>
      </c>
    </row>
    <row r="218" spans="1:17" hidden="1" x14ac:dyDescent="0.3">
      <c r="A218">
        <v>7</v>
      </c>
      <c r="B218">
        <v>2.7108372252397901</v>
      </c>
      <c r="C218">
        <v>3.3894891036030201</v>
      </c>
      <c r="D218">
        <v>0.67865187836323104</v>
      </c>
      <c r="E218">
        <v>0.160268217556996</v>
      </c>
      <c r="F218">
        <v>0.15892671186857499</v>
      </c>
      <c r="G218">
        <v>0.34019539102218299</v>
      </c>
      <c r="H218">
        <v>0.34975417087750699</v>
      </c>
      <c r="I218">
        <v>75.771112075286496</v>
      </c>
      <c r="J218">
        <v>216.02230268881701</v>
      </c>
      <c r="K218">
        <v>248.623199876125</v>
      </c>
      <c r="L218">
        <v>190.79351085651501</v>
      </c>
      <c r="M218">
        <f t="shared" si="15"/>
        <v>2.8509849832239014</v>
      </c>
      <c r="N218">
        <f t="shared" si="16"/>
        <v>1.0476645427205571</v>
      </c>
      <c r="O218">
        <f t="shared" si="17"/>
        <v>0.76740027057642535</v>
      </c>
      <c r="P218">
        <f t="shared" si="18"/>
        <v>-57.829689019609987</v>
      </c>
      <c r="Q218">
        <f t="shared" si="19"/>
        <v>1.5437436720094408</v>
      </c>
    </row>
    <row r="219" spans="1:17" hidden="1" x14ac:dyDescent="0.3">
      <c r="A219">
        <v>7</v>
      </c>
      <c r="B219">
        <v>2.7560806837973399</v>
      </c>
      <c r="C219">
        <v>3.4385028503737001</v>
      </c>
      <c r="D219">
        <v>0.68242216657636001</v>
      </c>
      <c r="E219">
        <v>0.16040430898393099</v>
      </c>
      <c r="F219">
        <v>0.15833455548577499</v>
      </c>
      <c r="G219">
        <v>0.33903168796841698</v>
      </c>
      <c r="H219">
        <v>0.34052529327209802</v>
      </c>
      <c r="I219">
        <v>76.801330408077106</v>
      </c>
      <c r="J219">
        <v>251.70141217860001</v>
      </c>
      <c r="K219">
        <v>249.855744668168</v>
      </c>
      <c r="L219">
        <v>126.854053751686</v>
      </c>
      <c r="M219">
        <f t="shared" si="15"/>
        <v>3.2773053649097839</v>
      </c>
      <c r="N219">
        <f t="shared" si="16"/>
        <v>1.1870215496626837</v>
      </c>
      <c r="O219">
        <f t="shared" si="17"/>
        <v>0.50770917402823834</v>
      </c>
      <c r="P219">
        <f t="shared" si="18"/>
        <v>-123.001690916482</v>
      </c>
      <c r="Q219">
        <f t="shared" si="19"/>
        <v>1.7394240805773431</v>
      </c>
    </row>
    <row r="220" spans="1:17" hidden="1" x14ac:dyDescent="0.3">
      <c r="A220">
        <v>7</v>
      </c>
      <c r="B220">
        <v>2.6014988670590502</v>
      </c>
      <c r="C220">
        <v>3.2801507454222798</v>
      </c>
      <c r="D220">
        <v>0.67865187836323104</v>
      </c>
      <c r="E220">
        <v>0.15956560161158401</v>
      </c>
      <c r="F220">
        <v>0.159364972044962</v>
      </c>
      <c r="G220">
        <v>0.34106393266386198</v>
      </c>
      <c r="H220">
        <v>0.34803630763454602</v>
      </c>
      <c r="I220">
        <v>67.417997467705504</v>
      </c>
      <c r="J220">
        <v>203.237835653432</v>
      </c>
      <c r="K220">
        <v>218.44702783851201</v>
      </c>
      <c r="L220">
        <v>161.74257564294001</v>
      </c>
      <c r="M220">
        <f t="shared" si="15"/>
        <v>3.0145931841239686</v>
      </c>
      <c r="N220">
        <f t="shared" si="16"/>
        <v>1.1034648904363749</v>
      </c>
      <c r="O220">
        <f t="shared" si="17"/>
        <v>0.7404201249307405</v>
      </c>
      <c r="P220">
        <f t="shared" si="18"/>
        <v>-56.704452195572003</v>
      </c>
      <c r="Q220">
        <f t="shared" si="19"/>
        <v>1.6259660152974273</v>
      </c>
    </row>
    <row r="221" spans="1:17" hidden="1" x14ac:dyDescent="0.3">
      <c r="A221">
        <v>7</v>
      </c>
      <c r="B221">
        <v>2.6392017491903399</v>
      </c>
      <c r="C221">
        <v>3.3216239157667</v>
      </c>
      <c r="D221">
        <v>0.68242216657636101</v>
      </c>
      <c r="E221">
        <v>0.16048237120280601</v>
      </c>
      <c r="F221">
        <v>0.158161096467966</v>
      </c>
      <c r="G221">
        <v>0.33898197818873199</v>
      </c>
      <c r="H221">
        <v>0.340587154024457</v>
      </c>
      <c r="I221">
        <v>67.778919150194298</v>
      </c>
      <c r="J221">
        <v>232.60440753504301</v>
      </c>
      <c r="K221">
        <v>215.548367845428</v>
      </c>
      <c r="L221">
        <v>106.140516928233</v>
      </c>
      <c r="M221">
        <f t="shared" si="15"/>
        <v>3.4318105164764376</v>
      </c>
      <c r="N221">
        <f t="shared" si="16"/>
        <v>1.2330879692846537</v>
      </c>
      <c r="O221">
        <f t="shared" si="17"/>
        <v>0.49242087977371035</v>
      </c>
      <c r="P221">
        <f t="shared" si="18"/>
        <v>-109.40785091719501</v>
      </c>
      <c r="Q221">
        <f t="shared" si="19"/>
        <v>1.8069283644037029</v>
      </c>
    </row>
    <row r="222" spans="1:17" hidden="1" x14ac:dyDescent="0.3">
      <c r="A222">
        <v>7</v>
      </c>
      <c r="B222">
        <v>2.4883902206651798</v>
      </c>
      <c r="C222">
        <v>3.1670420990284098</v>
      </c>
      <c r="D222">
        <v>0.67865187836323104</v>
      </c>
      <c r="E222">
        <v>0.159964376743293</v>
      </c>
      <c r="F222">
        <v>0.15875073923855701</v>
      </c>
      <c r="G222">
        <v>0.34049052705740601</v>
      </c>
      <c r="H222">
        <v>0.347853784466569</v>
      </c>
      <c r="I222">
        <v>58.379014585446598</v>
      </c>
      <c r="J222">
        <v>190.03380237280001</v>
      </c>
      <c r="K222">
        <v>182.86755916929599</v>
      </c>
      <c r="L222">
        <v>124.81506073373301</v>
      </c>
      <c r="M222">
        <f t="shared" si="15"/>
        <v>3.2551731769068581</v>
      </c>
      <c r="N222">
        <f t="shared" si="16"/>
        <v>1.1802454775960858</v>
      </c>
      <c r="O222">
        <f t="shared" si="17"/>
        <v>0.68254348283929978</v>
      </c>
      <c r="P222">
        <f t="shared" si="18"/>
        <v>-58.052498435562981</v>
      </c>
      <c r="Q222">
        <f t="shared" si="19"/>
        <v>1.7391029410286127</v>
      </c>
    </row>
    <row r="223" spans="1:17" hidden="1" x14ac:dyDescent="0.3">
      <c r="A223">
        <v>7</v>
      </c>
      <c r="B223">
        <v>2.5260931027964699</v>
      </c>
      <c r="C223">
        <v>3.20851526937283</v>
      </c>
      <c r="D223">
        <v>0.68242216657636001</v>
      </c>
      <c r="E223">
        <v>0.15948282775303599</v>
      </c>
      <c r="F223">
        <v>0.15910611470293501</v>
      </c>
      <c r="G223">
        <v>0.34035206481012098</v>
      </c>
      <c r="H223">
        <v>0.33917148380991602</v>
      </c>
      <c r="I223">
        <v>59.44866169134</v>
      </c>
      <c r="J223">
        <v>215.256793339626</v>
      </c>
      <c r="K223">
        <v>187.10760757277799</v>
      </c>
      <c r="L223">
        <v>93.3155155403295</v>
      </c>
      <c r="M223">
        <f t="shared" si="15"/>
        <v>3.620885436534274</v>
      </c>
      <c r="N223">
        <f t="shared" si="16"/>
        <v>1.2867185916567216</v>
      </c>
      <c r="O223">
        <f t="shared" si="17"/>
        <v>0.49872646414995814</v>
      </c>
      <c r="P223">
        <f t="shared" si="18"/>
        <v>-93.792092032448494</v>
      </c>
      <c r="Q223">
        <f t="shared" si="19"/>
        <v>1.8855169932595433</v>
      </c>
    </row>
    <row r="224" spans="1:17" hidden="1" x14ac:dyDescent="0.3">
      <c r="A224">
        <v>7</v>
      </c>
      <c r="B224">
        <v>2.3752815742713098</v>
      </c>
      <c r="C224">
        <v>3.0539334526345399</v>
      </c>
      <c r="D224">
        <v>0.67865187836323104</v>
      </c>
      <c r="E224">
        <v>0.16019415673107401</v>
      </c>
      <c r="F224">
        <v>0.15836840281041301</v>
      </c>
      <c r="G224">
        <v>0.34015277890747198</v>
      </c>
      <c r="H224">
        <v>0.34765819105380702</v>
      </c>
      <c r="I224">
        <v>49.723566113120597</v>
      </c>
      <c r="J224">
        <v>176.953902107912</v>
      </c>
      <c r="K224">
        <v>150.626812280054</v>
      </c>
      <c r="L224">
        <v>92.013177493139395</v>
      </c>
      <c r="M224">
        <f t="shared" si="15"/>
        <v>3.5587532419807482</v>
      </c>
      <c r="N224">
        <f t="shared" si="16"/>
        <v>1.2694102705983143</v>
      </c>
      <c r="O224">
        <f t="shared" si="17"/>
        <v>0.61086851736637182</v>
      </c>
      <c r="P224">
        <f t="shared" si="18"/>
        <v>-58.613634786914602</v>
      </c>
      <c r="Q224">
        <f t="shared" si="19"/>
        <v>1.8704881119018975</v>
      </c>
    </row>
    <row r="225" spans="1:17" hidden="1" x14ac:dyDescent="0.3">
      <c r="A225">
        <v>7</v>
      </c>
      <c r="B225">
        <v>2.4092141681894699</v>
      </c>
      <c r="C225">
        <v>3.09163633476583</v>
      </c>
      <c r="D225">
        <v>0.68242216657636001</v>
      </c>
      <c r="E225">
        <v>0.159918876811108</v>
      </c>
      <c r="F225">
        <v>0.15863625917159699</v>
      </c>
      <c r="G225">
        <v>0.33980414004817999</v>
      </c>
      <c r="H225">
        <v>0.33982562391333798</v>
      </c>
      <c r="I225">
        <v>50.537453252578999</v>
      </c>
      <c r="J225">
        <v>198.32642362377399</v>
      </c>
      <c r="K225">
        <v>153.63337280547901</v>
      </c>
      <c r="L225">
        <v>69.941311836039105</v>
      </c>
      <c r="M225">
        <f t="shared" si="15"/>
        <v>3.9243454281830696</v>
      </c>
      <c r="N225">
        <f t="shared" si="16"/>
        <v>1.3671995674370636</v>
      </c>
      <c r="O225">
        <f t="shared" si="17"/>
        <v>0.4552481701003494</v>
      </c>
      <c r="P225">
        <f t="shared" si="18"/>
        <v>-83.692060969439908</v>
      </c>
      <c r="Q225">
        <f t="shared" si="19"/>
        <v>2.0034512863146858</v>
      </c>
    </row>
    <row r="226" spans="1:17" hidden="1" x14ac:dyDescent="0.3">
      <c r="A226">
        <v>7</v>
      </c>
      <c r="B226">
        <v>2.2621729278774301</v>
      </c>
      <c r="C226">
        <v>2.9408248062406699</v>
      </c>
      <c r="D226">
        <v>0.67865187836323104</v>
      </c>
      <c r="E226">
        <v>0.16025192282470799</v>
      </c>
      <c r="F226">
        <v>0.15821458496416799</v>
      </c>
      <c r="G226">
        <v>0.34005357902767003</v>
      </c>
      <c r="H226">
        <v>0.34741986212842602</v>
      </c>
      <c r="I226">
        <v>41.525803409077803</v>
      </c>
      <c r="J226">
        <v>163.48090994454901</v>
      </c>
      <c r="K226">
        <v>121.80423579544799</v>
      </c>
      <c r="L226">
        <v>64.673897411734202</v>
      </c>
      <c r="M226">
        <f t="shared" si="15"/>
        <v>3.9368512231797315</v>
      </c>
      <c r="N226">
        <f t="shared" si="16"/>
        <v>1.3703812218596365</v>
      </c>
      <c r="O226">
        <f t="shared" si="17"/>
        <v>0.53096591419320049</v>
      </c>
      <c r="P226">
        <f t="shared" si="18"/>
        <v>-57.130338383713791</v>
      </c>
      <c r="Q226">
        <f t="shared" si="19"/>
        <v>2.0192697693030732</v>
      </c>
    </row>
    <row r="227" spans="1:17" hidden="1" x14ac:dyDescent="0.3">
      <c r="A227">
        <v>7</v>
      </c>
      <c r="B227">
        <v>2.2923352335824698</v>
      </c>
      <c r="C227">
        <v>2.97852768837196</v>
      </c>
      <c r="D227">
        <v>0.68619245478948898</v>
      </c>
      <c r="E227">
        <v>0.16053077548074501</v>
      </c>
      <c r="F227">
        <v>0.159270121320439</v>
      </c>
      <c r="G227">
        <v>0.33901625409897101</v>
      </c>
      <c r="H227">
        <v>0.33894684045421702</v>
      </c>
      <c r="I227">
        <v>42.025766399508598</v>
      </c>
      <c r="J227">
        <v>181.94499165242399</v>
      </c>
      <c r="K227">
        <v>122.889516337223</v>
      </c>
      <c r="L227">
        <v>57.085556215305203</v>
      </c>
      <c r="M227">
        <f t="shared" si="15"/>
        <v>4.3293676056446992</v>
      </c>
      <c r="N227">
        <f t="shared" si="16"/>
        <v>1.4654214818434426</v>
      </c>
      <c r="O227">
        <f t="shared" si="17"/>
        <v>0.46452747082717666</v>
      </c>
      <c r="P227">
        <f t="shared" si="18"/>
        <v>-65.803960121917797</v>
      </c>
      <c r="Q227">
        <f t="shared" si="19"/>
        <v>2.1355837879228852</v>
      </c>
    </row>
    <row r="228" spans="1:17" hidden="1" x14ac:dyDescent="0.3">
      <c r="A228">
        <v>7</v>
      </c>
      <c r="B228">
        <v>2.1490642814835601</v>
      </c>
      <c r="C228">
        <v>2.8277161598467901</v>
      </c>
      <c r="D228">
        <v>0.67865187836323104</v>
      </c>
      <c r="E228">
        <v>0.16013636896671399</v>
      </c>
      <c r="F228">
        <v>0.15828571842450201</v>
      </c>
      <c r="G228">
        <v>0.34019442514001702</v>
      </c>
      <c r="H228">
        <v>0.34712089172786798</v>
      </c>
      <c r="I228">
        <v>33.8495767816678</v>
      </c>
      <c r="J228">
        <v>149.07110252884601</v>
      </c>
      <c r="K228">
        <v>96.192834532287605</v>
      </c>
      <c r="L228">
        <v>43.184407211076902</v>
      </c>
      <c r="M228">
        <f t="shared" si="15"/>
        <v>4.403928104932163</v>
      </c>
      <c r="N228">
        <f t="shared" si="16"/>
        <v>1.4824968937798966</v>
      </c>
      <c r="O228">
        <f t="shared" si="17"/>
        <v>0.44893580089462737</v>
      </c>
      <c r="P228">
        <f t="shared" si="18"/>
        <v>-53.008427321210704</v>
      </c>
      <c r="Q228">
        <f t="shared" si="19"/>
        <v>2.1844732786349561</v>
      </c>
    </row>
    <row r="229" spans="1:17" hidden="1" x14ac:dyDescent="0.3">
      <c r="A229">
        <v>7</v>
      </c>
      <c r="B229">
        <v>2.1792265871885901</v>
      </c>
      <c r="C229">
        <v>2.86164875376496</v>
      </c>
      <c r="D229">
        <v>0.68242216657636101</v>
      </c>
      <c r="E229">
        <v>0.16005727284742599</v>
      </c>
      <c r="F229">
        <v>0.15847321306039999</v>
      </c>
      <c r="G229">
        <v>0.33965435578565401</v>
      </c>
      <c r="H229">
        <v>0.34008295299263802</v>
      </c>
      <c r="I229">
        <v>34.411124149841598</v>
      </c>
      <c r="J229">
        <v>164.82760524034799</v>
      </c>
      <c r="K229">
        <v>98.222767044963305</v>
      </c>
      <c r="L229">
        <v>38.257317968412501</v>
      </c>
      <c r="M229">
        <f t="shared" si="15"/>
        <v>4.7899511949279558</v>
      </c>
      <c r="N229">
        <f t="shared" si="16"/>
        <v>1.5665202224205939</v>
      </c>
      <c r="O229">
        <f t="shared" si="17"/>
        <v>0.38949542065842535</v>
      </c>
      <c r="P229">
        <f t="shared" si="18"/>
        <v>-59.965449076550804</v>
      </c>
      <c r="Q229">
        <f t="shared" si="19"/>
        <v>2.29552951112306</v>
      </c>
    </row>
    <row r="230" spans="1:17" hidden="1" x14ac:dyDescent="0.3">
      <c r="A230">
        <v>7</v>
      </c>
      <c r="B230">
        <v>2.0359556350896901</v>
      </c>
      <c r="C230">
        <v>2.7146075134529202</v>
      </c>
      <c r="D230">
        <v>0.67865187836323104</v>
      </c>
      <c r="E230">
        <v>0.15990717678996799</v>
      </c>
      <c r="F230">
        <v>0.15850238297067001</v>
      </c>
      <c r="G230">
        <v>0.34049303370890599</v>
      </c>
      <c r="H230">
        <v>0.34677822044284401</v>
      </c>
      <c r="I230">
        <v>26.850771808092599</v>
      </c>
      <c r="J230">
        <v>133.860081211558</v>
      </c>
      <c r="K230">
        <v>73.620836930714901</v>
      </c>
      <c r="L230">
        <v>27.230801695161698</v>
      </c>
      <c r="M230">
        <f t="shared" si="15"/>
        <v>4.9853345806325642</v>
      </c>
      <c r="N230">
        <f t="shared" si="16"/>
        <v>1.6065005186404742</v>
      </c>
      <c r="O230">
        <f t="shared" si="17"/>
        <v>0.36987900206552665</v>
      </c>
      <c r="P230">
        <f t="shared" si="18"/>
        <v>-46.390035235553199</v>
      </c>
      <c r="Q230">
        <f t="shared" si="19"/>
        <v>2.367193799735773</v>
      </c>
    </row>
    <row r="231" spans="1:17" hidden="1" x14ac:dyDescent="0.3">
      <c r="A231">
        <v>7</v>
      </c>
      <c r="B231">
        <v>2.0661179407947201</v>
      </c>
      <c r="C231">
        <v>2.7485401073710798</v>
      </c>
      <c r="D231">
        <v>0.68242216657636001</v>
      </c>
      <c r="E231">
        <v>0.159698652402817</v>
      </c>
      <c r="F231">
        <v>0.158830132570937</v>
      </c>
      <c r="G231">
        <v>0.34013523377472399</v>
      </c>
      <c r="H231">
        <v>0.33958632847708697</v>
      </c>
      <c r="I231">
        <v>27.3908593475253</v>
      </c>
      <c r="J231">
        <v>147.36805611455901</v>
      </c>
      <c r="K231">
        <v>75.770063111618299</v>
      </c>
      <c r="L231">
        <v>31.177457986114199</v>
      </c>
      <c r="M231">
        <f t="shared" si="15"/>
        <v>5.3801910427419051</v>
      </c>
      <c r="N231">
        <f t="shared" si="16"/>
        <v>1.682723883346563</v>
      </c>
      <c r="O231">
        <f t="shared" si="17"/>
        <v>0.4114746207903523</v>
      </c>
      <c r="P231">
        <f t="shared" si="18"/>
        <v>-44.5926051255041</v>
      </c>
      <c r="Q231">
        <f t="shared" si="19"/>
        <v>2.4658107045212376</v>
      </c>
    </row>
  </sheetData>
  <autoFilter ref="A1:Q231" xr:uid="{BBCD02D8-8A80-4C5F-A09B-5BB8AD92FA00}">
    <filterColumn colId="0">
      <filters>
        <filter val="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D16F-EBE3-498A-A809-E3B35033A958}">
  <dimension ref="A1:Z14"/>
  <sheetViews>
    <sheetView tabSelected="1" workbookViewId="0">
      <selection activeCell="C14" sqref="C14"/>
    </sheetView>
  </sheetViews>
  <sheetFormatPr defaultRowHeight="14.4" x14ac:dyDescent="0.3"/>
  <cols>
    <col min="1" max="1" width="10.5546875" bestFit="1" customWidth="1"/>
    <col min="2" max="2" width="10.21875" bestFit="1" customWidth="1"/>
    <col min="3" max="3" width="18.77734375" customWidth="1"/>
    <col min="4" max="4" width="18.77734375" bestFit="1" customWidth="1"/>
    <col min="5" max="7" width="18.77734375" customWidth="1"/>
    <col min="8" max="8" width="17.77734375" bestFit="1" customWidth="1"/>
    <col min="9" max="11" width="18.77734375" customWidth="1"/>
    <col min="12" max="12" width="18.77734375" bestFit="1" customWidth="1"/>
    <col min="13" max="14" width="18.77734375" customWidth="1"/>
    <col min="15" max="15" width="19.44140625" customWidth="1"/>
    <col min="16" max="16" width="17.77734375" bestFit="1" customWidth="1"/>
    <col min="17" max="17" width="19.44140625" customWidth="1"/>
    <col min="18" max="18" width="17.77734375" customWidth="1"/>
    <col min="19" max="19" width="18.77734375" customWidth="1"/>
    <col min="20" max="20" width="18.77734375" bestFit="1" customWidth="1"/>
    <col min="21" max="23" width="18.77734375" customWidth="1"/>
    <col min="24" max="24" width="18.77734375" bestFit="1" customWidth="1"/>
    <col min="25" max="25" width="19.44140625" bestFit="1" customWidth="1"/>
    <col min="26" max="26" width="18.77734375" bestFit="1" customWidth="1"/>
  </cols>
  <sheetData>
    <row r="1" spans="1:26" x14ac:dyDescent="0.3">
      <c r="A1" t="s">
        <v>0</v>
      </c>
      <c r="B1" t="s">
        <v>3</v>
      </c>
      <c r="C1" t="s">
        <v>12</v>
      </c>
      <c r="D1" t="s">
        <v>13</v>
      </c>
      <c r="E1" t="s">
        <v>14</v>
      </c>
      <c r="F1" t="s">
        <v>15</v>
      </c>
      <c r="G1" t="s">
        <v>8</v>
      </c>
      <c r="H1" t="s">
        <v>16</v>
      </c>
      <c r="I1" t="s">
        <v>17</v>
      </c>
      <c r="J1" t="s">
        <v>18</v>
      </c>
      <c r="K1" t="s">
        <v>9</v>
      </c>
      <c r="L1" t="s">
        <v>19</v>
      </c>
      <c r="M1" t="s">
        <v>20</v>
      </c>
      <c r="N1" t="s">
        <v>21</v>
      </c>
      <c r="O1" t="s">
        <v>10</v>
      </c>
      <c r="P1" t="s">
        <v>22</v>
      </c>
      <c r="Q1" t="s">
        <v>23</v>
      </c>
      <c r="R1" t="s">
        <v>24</v>
      </c>
      <c r="S1" t="s">
        <v>11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</row>
    <row r="2" spans="1:26" x14ac:dyDescent="0.3"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33</v>
      </c>
      <c r="X2" s="1" t="s">
        <v>34</v>
      </c>
      <c r="Y2" s="1" t="s">
        <v>35</v>
      </c>
      <c r="Z2" s="1" t="s">
        <v>36</v>
      </c>
    </row>
    <row r="3" spans="1:26" x14ac:dyDescent="0.3">
      <c r="A3">
        <v>3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54</v>
      </c>
      <c r="T3" s="1" t="s">
        <v>55</v>
      </c>
      <c r="U3" s="1" t="s">
        <v>56</v>
      </c>
      <c r="V3" s="1" t="s">
        <v>57</v>
      </c>
      <c r="W3" s="1" t="s">
        <v>58</v>
      </c>
      <c r="X3" s="1" t="s">
        <v>59</v>
      </c>
      <c r="Y3" s="1" t="s">
        <v>60</v>
      </c>
      <c r="Z3" s="1" t="s">
        <v>61</v>
      </c>
    </row>
    <row r="4" spans="1:26" x14ac:dyDescent="0.3">
      <c r="A4">
        <v>4</v>
      </c>
      <c r="B4" s="1" t="s">
        <v>62</v>
      </c>
      <c r="C4" s="1" t="s">
        <v>63</v>
      </c>
      <c r="D4" s="1" t="s">
        <v>64</v>
      </c>
      <c r="E4" s="1" t="s">
        <v>65</v>
      </c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74</v>
      </c>
      <c r="O4" s="1" t="s">
        <v>75</v>
      </c>
      <c r="P4" s="1" t="s">
        <v>76</v>
      </c>
      <c r="Q4" s="1" t="s">
        <v>77</v>
      </c>
      <c r="R4" s="1" t="s">
        <v>78</v>
      </c>
      <c r="S4" s="1" t="s">
        <v>79</v>
      </c>
      <c r="T4" s="1" t="s">
        <v>80</v>
      </c>
      <c r="U4" s="1" t="s">
        <v>81</v>
      </c>
      <c r="V4" s="1" t="s">
        <v>82</v>
      </c>
      <c r="W4" s="1" t="s">
        <v>83</v>
      </c>
      <c r="X4" s="1" t="s">
        <v>84</v>
      </c>
      <c r="Y4" s="1" t="s">
        <v>85</v>
      </c>
      <c r="Z4" s="1" t="s">
        <v>86</v>
      </c>
    </row>
    <row r="5" spans="1:26" x14ac:dyDescent="0.3">
      <c r="A5">
        <v>7</v>
      </c>
      <c r="B5" s="1" t="s">
        <v>87</v>
      </c>
      <c r="C5" s="1" t="s">
        <v>88</v>
      </c>
      <c r="D5" s="1" t="s">
        <v>89</v>
      </c>
      <c r="E5" s="1" t="s">
        <v>90</v>
      </c>
      <c r="F5" s="1" t="s">
        <v>91</v>
      </c>
      <c r="G5" s="1" t="s">
        <v>92</v>
      </c>
      <c r="H5" s="1" t="s">
        <v>93</v>
      </c>
      <c r="I5" s="1" t="s">
        <v>94</v>
      </c>
      <c r="J5" s="1" t="s">
        <v>95</v>
      </c>
      <c r="K5" s="1" t="s">
        <v>96</v>
      </c>
      <c r="L5" s="1" t="s">
        <v>97</v>
      </c>
      <c r="M5" s="1" t="s">
        <v>98</v>
      </c>
      <c r="N5" s="1" t="s">
        <v>99</v>
      </c>
      <c r="O5" s="1" t="s">
        <v>100</v>
      </c>
      <c r="P5" s="1" t="s">
        <v>101</v>
      </c>
      <c r="Q5" s="1" t="s">
        <v>102</v>
      </c>
      <c r="R5" s="1" t="s">
        <v>103</v>
      </c>
      <c r="S5" s="1" t="s">
        <v>104</v>
      </c>
      <c r="T5" s="1" t="s">
        <v>105</v>
      </c>
      <c r="U5" s="1" t="s">
        <v>106</v>
      </c>
      <c r="V5" s="1" t="s">
        <v>107</v>
      </c>
      <c r="W5" s="1" t="s">
        <v>108</v>
      </c>
      <c r="X5" s="1" t="s">
        <v>109</v>
      </c>
      <c r="Y5" s="1" t="s">
        <v>110</v>
      </c>
      <c r="Z5" s="1" t="s">
        <v>111</v>
      </c>
    </row>
    <row r="12" spans="1:26" x14ac:dyDescent="0.3">
      <c r="A12" s="4">
        <v>3</v>
      </c>
      <c r="B12" s="9" t="s">
        <v>37</v>
      </c>
      <c r="C12" s="11" t="s">
        <v>38</v>
      </c>
      <c r="D12" s="11" t="s">
        <v>58</v>
      </c>
    </row>
    <row r="13" spans="1:26" x14ac:dyDescent="0.3">
      <c r="A13" s="3">
        <v>4</v>
      </c>
      <c r="B13" s="10" t="s">
        <v>62</v>
      </c>
      <c r="C13" s="12" t="s">
        <v>63</v>
      </c>
      <c r="D13" s="12" t="s">
        <v>83</v>
      </c>
    </row>
    <row r="14" spans="1:26" x14ac:dyDescent="0.3">
      <c r="A14" s="4">
        <v>7</v>
      </c>
      <c r="B14" s="9" t="s">
        <v>87</v>
      </c>
      <c r="C14" s="11" t="s">
        <v>88</v>
      </c>
      <c r="D14" s="11" t="s">
        <v>108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3B09-3702-4E71-8FD2-2AA547AB0AB6}">
  <dimension ref="A1:J3"/>
  <sheetViews>
    <sheetView topLeftCell="A2" workbookViewId="0">
      <selection activeCell="D1" sqref="D1:G4"/>
    </sheetView>
  </sheetViews>
  <sheetFormatPr defaultRowHeight="14.4" x14ac:dyDescent="0.3"/>
  <cols>
    <col min="1" max="2" width="8.88671875" style="8"/>
    <col min="3" max="4" width="9" style="6" bestFit="1" customWidth="1"/>
    <col min="5" max="5" width="9.5546875" style="6" bestFit="1" customWidth="1"/>
    <col min="6" max="8" width="9" style="6" bestFit="1" customWidth="1"/>
  </cols>
  <sheetData>
    <row r="1" spans="1:10" x14ac:dyDescent="0.3">
      <c r="A1" s="8">
        <v>3</v>
      </c>
      <c r="B1" s="8">
        <v>73</v>
      </c>
      <c r="C1" s="6">
        <v>0.874706865445943</v>
      </c>
      <c r="D1" s="6">
        <v>41.593850813456903</v>
      </c>
      <c r="E1" s="6">
        <v>237.34633963556701</v>
      </c>
      <c r="F1" s="6">
        <v>82.225888623775802</v>
      </c>
      <c r="G1" s="6">
        <v>67.512308207857203</v>
      </c>
      <c r="H1" s="6">
        <v>2.3722542090085001</v>
      </c>
      <c r="J1" t="s">
        <v>116</v>
      </c>
    </row>
    <row r="2" spans="1:10" x14ac:dyDescent="0.3">
      <c r="A2" s="8">
        <v>4</v>
      </c>
      <c r="B2" s="8">
        <v>77</v>
      </c>
      <c r="C2" s="6">
        <v>0.79176052475710301</v>
      </c>
      <c r="D2" s="6">
        <v>44.407329714000298</v>
      </c>
      <c r="E2" s="6">
        <v>215.362842720526</v>
      </c>
      <c r="F2" s="6">
        <v>62.739382948047698</v>
      </c>
      <c r="G2" s="6">
        <v>66.8876047157773</v>
      </c>
      <c r="H2" s="6">
        <v>2.28981728088737</v>
      </c>
    </row>
    <row r="3" spans="1:10" x14ac:dyDescent="0.3">
      <c r="A3" s="8">
        <v>7</v>
      </c>
      <c r="B3" s="8">
        <v>80</v>
      </c>
      <c r="C3" s="6">
        <v>0.67865187836323104</v>
      </c>
      <c r="D3" s="6">
        <v>41.775784904293197</v>
      </c>
      <c r="E3" s="6">
        <v>170.89075367413</v>
      </c>
      <c r="F3" s="6">
        <v>74.695450021166593</v>
      </c>
      <c r="G3" s="6">
        <v>60.879726813519703</v>
      </c>
      <c r="H3" s="6">
        <v>2.0774267786129901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C017D-BE23-4CDE-9DBF-78A24B85BCB4}">
  <dimension ref="A1:Q11"/>
  <sheetViews>
    <sheetView topLeftCell="I1" workbookViewId="0">
      <selection activeCell="M1" sqref="M1:Q1"/>
    </sheetView>
  </sheetViews>
  <sheetFormatPr defaultRowHeight="14.4" x14ac:dyDescent="0.3"/>
  <cols>
    <col min="1" max="1" width="10.5546875" bestFit="1" customWidth="1"/>
    <col min="2" max="10" width="12" bestFit="1" customWidth="1"/>
    <col min="11" max="11" width="12.5546875" bestFit="1" customWidth="1"/>
    <col min="12" max="12" width="12" bestFit="1" customWidth="1"/>
    <col min="13" max="13" width="17" bestFit="1" customWidth="1"/>
    <col min="14" max="14" width="15.5546875" bestFit="1" customWidth="1"/>
    <col min="15" max="15" width="15.88671875" bestFit="1" customWidth="1"/>
    <col min="16" max="16" width="16.33203125" bestFit="1" customWidth="1"/>
    <col min="17" max="17" width="13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112</v>
      </c>
      <c r="N1" t="s">
        <v>113</v>
      </c>
      <c r="O1" t="s">
        <v>114</v>
      </c>
      <c r="P1" t="s">
        <v>115</v>
      </c>
      <c r="Q1" t="s">
        <v>28</v>
      </c>
    </row>
    <row r="2" spans="1:17" x14ac:dyDescent="0.3">
      <c r="A2">
        <v>7</v>
      </c>
      <c r="B2">
        <v>1.3723849095789795</v>
      </c>
      <c r="C2">
        <v>2.0548070761553405</v>
      </c>
      <c r="D2">
        <v>0.68242216657636101</v>
      </c>
      <c r="E2">
        <v>0.16025255067218019</v>
      </c>
      <c r="F2">
        <v>0.1582990201068569</v>
      </c>
      <c r="G2">
        <v>0.3395710313573212</v>
      </c>
      <c r="H2">
        <v>0.34106214414553909</v>
      </c>
      <c r="I2">
        <v>7.9188119550468592</v>
      </c>
      <c r="J2">
        <v>68.795173698649251</v>
      </c>
      <c r="K2">
        <v>9.7643550993979655</v>
      </c>
      <c r="L2">
        <v>16.296033672733348</v>
      </c>
      <c r="M2">
        <v>8.6875624890681173</v>
      </c>
      <c r="N2">
        <v>2.1618924038512994</v>
      </c>
      <c r="O2">
        <v>1.6689308722230003</v>
      </c>
      <c r="P2">
        <v>6.5316785733353822</v>
      </c>
      <c r="Q2">
        <v>3.1679691981538092</v>
      </c>
    </row>
    <row r="3" spans="1:17" x14ac:dyDescent="0.3">
      <c r="A3">
        <v>7</v>
      </c>
      <c r="B3">
        <v>1.4892638441859809</v>
      </c>
      <c r="C3">
        <v>2.171686010762341</v>
      </c>
      <c r="D3">
        <v>0.68242216657636079</v>
      </c>
      <c r="E3">
        <v>0.15961353364423339</v>
      </c>
      <c r="F3">
        <v>0.1589235170567207</v>
      </c>
      <c r="G3">
        <v>0.34039683450887109</v>
      </c>
      <c r="H3">
        <v>0.34006010139228082</v>
      </c>
      <c r="I3">
        <v>9.2802947037664723</v>
      </c>
      <c r="J3">
        <v>79.814053017340655</v>
      </c>
      <c r="K3">
        <v>13.890100893244936</v>
      </c>
      <c r="L3">
        <v>20.298639821027503</v>
      </c>
      <c r="M3">
        <v>8.6003791436652932</v>
      </c>
      <c r="N3">
        <v>2.1518062887603904</v>
      </c>
      <c r="O3">
        <v>1.4613745412676722</v>
      </c>
      <c r="P3">
        <v>6.4085389277825673</v>
      </c>
      <c r="Q3">
        <v>3.1531893220230125</v>
      </c>
    </row>
    <row r="4" spans="1:17" x14ac:dyDescent="0.3">
      <c r="A4">
        <v>7</v>
      </c>
      <c r="B4">
        <v>1.3610740449395924</v>
      </c>
      <c r="C4">
        <v>2.0397259233028242</v>
      </c>
      <c r="D4">
        <v>0.67865187836323182</v>
      </c>
      <c r="E4">
        <v>0.1596287618532988</v>
      </c>
      <c r="F4">
        <v>0.15817256711006469</v>
      </c>
      <c r="G4">
        <v>0.3406800312472319</v>
      </c>
      <c r="H4">
        <v>0.34427672505715678</v>
      </c>
      <c r="I4">
        <v>7.8093741101411602</v>
      </c>
      <c r="J4">
        <v>66.210541769365534</v>
      </c>
      <c r="K4">
        <v>9.5210342498890537</v>
      </c>
      <c r="L4">
        <v>10.479514281704956</v>
      </c>
      <c r="M4">
        <v>8.4783416488378123</v>
      </c>
      <c r="N4">
        <v>2.1375148704008473</v>
      </c>
      <c r="O4">
        <v>1.1006697388812641</v>
      </c>
      <c r="P4">
        <v>0.95848003181590258</v>
      </c>
      <c r="Q4">
        <v>3.149648499546029</v>
      </c>
    </row>
    <row r="5" spans="1:17" x14ac:dyDescent="0.3">
      <c r="A5">
        <v>7</v>
      </c>
      <c r="B5">
        <v>1.2592762631851078</v>
      </c>
      <c r="C5">
        <v>1.9416984297614683</v>
      </c>
      <c r="D5">
        <v>0.68242216657636057</v>
      </c>
      <c r="E5">
        <v>0.15970273539456301</v>
      </c>
      <c r="F5">
        <v>0.1588645086631002</v>
      </c>
      <c r="G5">
        <v>0.34031564187671232</v>
      </c>
      <c r="H5">
        <v>0.34040212718631602</v>
      </c>
      <c r="I5">
        <v>6.8961983734687884</v>
      </c>
      <c r="J5">
        <v>58.825733751050024</v>
      </c>
      <c r="K5">
        <v>7.5424085352651629</v>
      </c>
      <c r="L5">
        <v>14.583190320325846</v>
      </c>
      <c r="M5">
        <v>8.530168444307769</v>
      </c>
      <c r="N5">
        <v>2.1436091085897111</v>
      </c>
      <c r="O5">
        <v>1.9334924980715269</v>
      </c>
      <c r="P5">
        <v>7.0407817850606831</v>
      </c>
      <c r="Q5">
        <v>3.1411774317706738</v>
      </c>
    </row>
    <row r="6" spans="1:17" x14ac:dyDescent="0.3">
      <c r="A6">
        <v>7</v>
      </c>
      <c r="B6">
        <v>1.4741826913334644</v>
      </c>
      <c r="C6">
        <v>2.152834569696696</v>
      </c>
      <c r="D6">
        <v>0.6786518783632316</v>
      </c>
      <c r="E6">
        <v>0.15958558669165129</v>
      </c>
      <c r="F6">
        <v>0.1582789630141993</v>
      </c>
      <c r="G6">
        <v>0.34075897461766419</v>
      </c>
      <c r="H6">
        <v>0.3444542995014428</v>
      </c>
      <c r="I6">
        <v>9.1023447657505727</v>
      </c>
      <c r="J6">
        <v>76.37100963933463</v>
      </c>
      <c r="K6">
        <v>13.28044059766407</v>
      </c>
      <c r="L6">
        <v>11.423959980088664</v>
      </c>
      <c r="M6">
        <v>8.3902567530397345</v>
      </c>
      <c r="N6">
        <v>2.1270711222802117</v>
      </c>
      <c r="O6">
        <v>0.86020941068009849</v>
      </c>
      <c r="P6">
        <v>-1.8564806175754054</v>
      </c>
      <c r="Q6">
        <v>3.1342595373201774</v>
      </c>
    </row>
    <row r="7" spans="1:17" x14ac:dyDescent="0.3">
      <c r="A7">
        <v>7</v>
      </c>
      <c r="B7">
        <v>1.2479653985457204</v>
      </c>
      <c r="C7">
        <v>1.926617276908952</v>
      </c>
      <c r="D7">
        <v>0.67865187836323182</v>
      </c>
      <c r="E7">
        <v>0.15959474741973351</v>
      </c>
      <c r="F7">
        <v>0.15816067917906609</v>
      </c>
      <c r="G7">
        <v>0.3407084681255389</v>
      </c>
      <c r="H7">
        <v>0.3440571224568334</v>
      </c>
      <c r="I7">
        <v>6.8083483785828864</v>
      </c>
      <c r="J7">
        <v>56.815370139214544</v>
      </c>
      <c r="K7">
        <v>7.351174512726331</v>
      </c>
      <c r="L7">
        <v>9.265060179824248</v>
      </c>
      <c r="M7">
        <v>8.3449563653263432</v>
      </c>
      <c r="N7">
        <v>2.121657328259666</v>
      </c>
      <c r="O7">
        <v>1.2603510042898047</v>
      </c>
      <c r="P7">
        <v>1.913885667097917</v>
      </c>
      <c r="Q7">
        <v>3.1262822603197757</v>
      </c>
    </row>
    <row r="8" spans="1:17" x14ac:dyDescent="0.3">
      <c r="A8">
        <v>7</v>
      </c>
      <c r="B8">
        <v>1.6023724905798526</v>
      </c>
      <c r="C8">
        <v>2.2847946571562132</v>
      </c>
      <c r="D8">
        <v>0.68242216657636057</v>
      </c>
      <c r="E8">
        <v>0.16035252411218179</v>
      </c>
      <c r="F8">
        <v>0.15816756609795521</v>
      </c>
      <c r="G8">
        <v>0.33938951946563839</v>
      </c>
      <c r="H8">
        <v>0.3409416474805903</v>
      </c>
      <c r="I8">
        <v>10.995073596447316</v>
      </c>
      <c r="J8">
        <v>91.290791922422954</v>
      </c>
      <c r="K8">
        <v>19.578575896327077</v>
      </c>
      <c r="L8">
        <v>20.71101477866123</v>
      </c>
      <c r="M8">
        <v>8.302881387889979</v>
      </c>
      <c r="N8">
        <v>2.1166026097256068</v>
      </c>
      <c r="O8">
        <v>1.0578407177483526</v>
      </c>
      <c r="P8">
        <v>1.1324388823341529</v>
      </c>
      <c r="Q8">
        <v>3.1016029569267611</v>
      </c>
    </row>
    <row r="9" spans="1:17" x14ac:dyDescent="0.3">
      <c r="A9">
        <v>7</v>
      </c>
      <c r="B9">
        <v>1.1423973285781066</v>
      </c>
      <c r="C9">
        <v>1.8285897833675964</v>
      </c>
      <c r="D9">
        <v>0.68619245478948976</v>
      </c>
      <c r="E9">
        <v>0.1604729429414567</v>
      </c>
      <c r="F9">
        <v>0.15937437816228339</v>
      </c>
      <c r="G9">
        <v>0.33930955826372761</v>
      </c>
      <c r="H9">
        <v>0.3398069321275477</v>
      </c>
      <c r="I9">
        <v>6.0662401588313779</v>
      </c>
      <c r="J9">
        <v>50.052773249543499</v>
      </c>
      <c r="K9">
        <v>6.2748769204802182</v>
      </c>
      <c r="L9">
        <v>12.666813591433458</v>
      </c>
      <c r="M9">
        <v>8.2510372057518158</v>
      </c>
      <c r="N9">
        <v>2.1103389143535636</v>
      </c>
      <c r="O9">
        <v>2.0186553062245665</v>
      </c>
      <c r="P9">
        <v>6.3919366709532399</v>
      </c>
      <c r="Q9">
        <v>3.0754329920473604</v>
      </c>
    </row>
    <row r="10" spans="1:17" x14ac:dyDescent="0.3">
      <c r="A10">
        <v>7</v>
      </c>
      <c r="B10">
        <v>1.1348567521518484</v>
      </c>
      <c r="C10">
        <v>1.8135086305150805</v>
      </c>
      <c r="D10">
        <v>0.67865187836323182</v>
      </c>
      <c r="E10">
        <v>0.15950757086886139</v>
      </c>
      <c r="F10">
        <v>0.15821317399509099</v>
      </c>
      <c r="G10">
        <v>0.34081093509284083</v>
      </c>
      <c r="H10">
        <v>0.34380631398462919</v>
      </c>
      <c r="I10">
        <v>6.0198434477617964</v>
      </c>
      <c r="J10">
        <v>48.482865553368974</v>
      </c>
      <c r="K10">
        <v>6.2807762610585547</v>
      </c>
      <c r="L10">
        <v>7.9363546916406733</v>
      </c>
      <c r="M10">
        <v>8.053841594733683</v>
      </c>
      <c r="N10">
        <v>2.0861491943358819</v>
      </c>
      <c r="O10">
        <v>1.2635945561135287</v>
      </c>
      <c r="P10">
        <v>1.6555784305821186</v>
      </c>
      <c r="Q10">
        <v>3.0739606871305547</v>
      </c>
    </row>
    <row r="11" spans="1:17" x14ac:dyDescent="0.3">
      <c r="A11">
        <v>7</v>
      </c>
      <c r="B11">
        <v>1.5872913377273363</v>
      </c>
      <c r="C11">
        <v>2.2659432160905681</v>
      </c>
      <c r="D11">
        <v>0.67865187836323182</v>
      </c>
      <c r="E11">
        <v>0.15943094173371089</v>
      </c>
      <c r="F11">
        <v>0.1585237962231186</v>
      </c>
      <c r="G11">
        <v>0.34099318051537109</v>
      </c>
      <c r="H11">
        <v>0.3445785313353199</v>
      </c>
      <c r="I11">
        <v>10.802912962400535</v>
      </c>
      <c r="J11">
        <v>86.782567363947194</v>
      </c>
      <c r="K11">
        <v>19.157219834611865</v>
      </c>
      <c r="L11">
        <v>12.048155155112314</v>
      </c>
      <c r="M11">
        <v>8.033256184326703</v>
      </c>
      <c r="N11">
        <v>2.0835899481716007</v>
      </c>
      <c r="O11">
        <v>0.62890937511426304</v>
      </c>
      <c r="P11">
        <v>-7.1090646794995518</v>
      </c>
      <c r="Q11">
        <v>3.0701896135567903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5A96-4673-4B2A-881B-A73F1BB59681}">
  <dimension ref="A1:Q11"/>
  <sheetViews>
    <sheetView workbookViewId="0"/>
  </sheetViews>
  <sheetFormatPr defaultRowHeight="14.4" x14ac:dyDescent="0.3"/>
  <cols>
    <col min="1" max="1" width="10.5546875" bestFit="1" customWidth="1"/>
    <col min="2" max="10" width="12" bestFit="1" customWidth="1"/>
    <col min="11" max="12" width="12.6640625" bestFit="1" customWidth="1"/>
    <col min="13" max="13" width="17" bestFit="1" customWidth="1"/>
    <col min="14" max="14" width="15.5546875" bestFit="1" customWidth="1"/>
    <col min="15" max="15" width="15.88671875" bestFit="1" customWidth="1"/>
    <col min="16" max="16" width="16.33203125" bestFit="1" customWidth="1"/>
    <col min="17" max="17" width="13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112</v>
      </c>
      <c r="N1" t="s">
        <v>113</v>
      </c>
      <c r="O1" t="s">
        <v>114</v>
      </c>
      <c r="P1" t="s">
        <v>115</v>
      </c>
      <c r="Q1" t="s">
        <v>28</v>
      </c>
    </row>
    <row r="2" spans="1:17" x14ac:dyDescent="0.3">
      <c r="A2">
        <v>4</v>
      </c>
      <c r="B2">
        <v>28.691893301912184</v>
      </c>
      <c r="C2">
        <v>29.378085756701672</v>
      </c>
      <c r="D2">
        <v>0.68619245478948798</v>
      </c>
      <c r="E2">
        <v>0.15988323056590281</v>
      </c>
      <c r="F2">
        <v>0.15885041053942339</v>
      </c>
      <c r="G2">
        <v>0.37238483219965302</v>
      </c>
      <c r="H2">
        <v>0.28538039015201949</v>
      </c>
      <c r="I2">
        <v>19511918.416955382</v>
      </c>
      <c r="J2">
        <v>10636900.084332978</v>
      </c>
      <c r="K2">
        <v>-29205897.219204165</v>
      </c>
      <c r="L2">
        <v>-5070438.1534895469</v>
      </c>
      <c r="M2">
        <v>0.54514886014948538</v>
      </c>
      <c r="N2">
        <v>-0.60669638372529111</v>
      </c>
      <c r="O2">
        <v>0.1736100800271087</v>
      </c>
      <c r="P2">
        <v>24135459.06571462</v>
      </c>
      <c r="Q2">
        <v>-0.88414901605325158</v>
      </c>
    </row>
    <row r="3" spans="1:17" x14ac:dyDescent="0.3">
      <c r="A3">
        <v>3</v>
      </c>
      <c r="B3">
        <v>36.85833757154974</v>
      </c>
      <c r="C3">
        <v>37.668949537372477</v>
      </c>
      <c r="D3">
        <v>0.8106119658227442</v>
      </c>
      <c r="E3">
        <v>0.1598867966812276</v>
      </c>
      <c r="F3">
        <v>0.15922222903464989</v>
      </c>
      <c r="G3">
        <v>0.28853075413163698</v>
      </c>
      <c r="H3">
        <v>0.33516846119188831</v>
      </c>
      <c r="I3">
        <v>1084250.6933203989</v>
      </c>
      <c r="J3">
        <v>5900921.623711382</v>
      </c>
      <c r="K3">
        <v>51502.997272564018</v>
      </c>
      <c r="L3">
        <v>11870138.390498046</v>
      </c>
      <c r="M3">
        <v>5.4423959883672808</v>
      </c>
      <c r="N3">
        <v>1.6942194029411515</v>
      </c>
      <c r="O3">
        <v>230.47471058196734</v>
      </c>
      <c r="P3">
        <v>11818635.393225482</v>
      </c>
      <c r="Q3">
        <v>2.0900498319458869</v>
      </c>
    </row>
    <row r="4" spans="1:17" x14ac:dyDescent="0.3">
      <c r="A4">
        <v>7</v>
      </c>
      <c r="B4">
        <v>29.807898612998383</v>
      </c>
      <c r="C4">
        <v>30.399833862459651</v>
      </c>
      <c r="D4">
        <v>0.5919352494612653</v>
      </c>
      <c r="E4">
        <v>0.1607183712359278</v>
      </c>
      <c r="F4">
        <v>0.15823260688509749</v>
      </c>
      <c r="G4">
        <v>0.39478582159337822</v>
      </c>
      <c r="H4">
        <v>0.38662911512745302</v>
      </c>
      <c r="I4">
        <v>2222391.2510043052</v>
      </c>
      <c r="J4">
        <v>4302062.7224566266</v>
      </c>
      <c r="K4">
        <v>2871451.858527075</v>
      </c>
      <c r="L4">
        <v>3905292.960262829</v>
      </c>
      <c r="M4">
        <v>1.9357809838895432</v>
      </c>
      <c r="N4">
        <v>0.66051085429868506</v>
      </c>
      <c r="O4">
        <v>1.3600412448725738</v>
      </c>
      <c r="P4">
        <v>1033841.1017357539</v>
      </c>
      <c r="Q4">
        <v>1.1158498415153213</v>
      </c>
    </row>
    <row r="5" spans="1:17" x14ac:dyDescent="0.3">
      <c r="A5">
        <v>3</v>
      </c>
      <c r="B5">
        <v>24.043127935124048</v>
      </c>
      <c r="C5">
        <v>26.422179797608489</v>
      </c>
      <c r="D5">
        <v>2.3790518624844381</v>
      </c>
      <c r="E5">
        <v>0.15963854183326179</v>
      </c>
      <c r="F5">
        <v>0.1593879396488872</v>
      </c>
      <c r="G5">
        <v>0.33365449581916728</v>
      </c>
      <c r="H5">
        <v>0.24775369029279429</v>
      </c>
      <c r="I5">
        <v>2773306.4199319226</v>
      </c>
      <c r="J5">
        <v>3400443.2458502539</v>
      </c>
      <c r="K5">
        <v>250464.22319210501</v>
      </c>
      <c r="L5">
        <v>276936.83438946458</v>
      </c>
      <c r="M5">
        <v>1.2261332615145086</v>
      </c>
      <c r="N5">
        <v>0.20386552778524702</v>
      </c>
      <c r="O5">
        <v>1.105694182027168</v>
      </c>
      <c r="P5">
        <v>26472.611197359569</v>
      </c>
      <c r="Q5">
        <v>8.5691922483922128E-2</v>
      </c>
    </row>
    <row r="6" spans="1:17" x14ac:dyDescent="0.3">
      <c r="A6">
        <v>3</v>
      </c>
      <c r="B6">
        <v>2.1641454343360831</v>
      </c>
      <c r="C6">
        <v>7.6649959372913887</v>
      </c>
      <c r="D6">
        <v>5.5008505029553056</v>
      </c>
      <c r="E6">
        <v>0.15943883553369309</v>
      </c>
      <c r="F6">
        <v>0.15913555894695439</v>
      </c>
      <c r="G6">
        <v>0.31939921283697109</v>
      </c>
      <c r="H6">
        <v>0.33250454881303138</v>
      </c>
      <c r="I6">
        <v>310.16115269752981</v>
      </c>
      <c r="J6">
        <v>997819.58350027842</v>
      </c>
      <c r="K6">
        <v>819.50413572109983</v>
      </c>
      <c r="L6">
        <v>-676361.08463068819</v>
      </c>
      <c r="M6">
        <v>3217.1004486604916</v>
      </c>
      <c r="N6">
        <v>8.0762357510787233</v>
      </c>
      <c r="O6">
        <v>-825.32967821516002</v>
      </c>
      <c r="P6">
        <v>-677180.58876640932</v>
      </c>
      <c r="Q6">
        <v>1.4681794654735307</v>
      </c>
    </row>
    <row r="7" spans="1:17" x14ac:dyDescent="0.3">
      <c r="A7">
        <v>3</v>
      </c>
      <c r="B7">
        <v>30.96160680621588</v>
      </c>
      <c r="C7">
        <v>31.772218772038631</v>
      </c>
      <c r="D7">
        <v>0.8106119658227513</v>
      </c>
      <c r="E7">
        <v>0.1596419931428259</v>
      </c>
      <c r="F7">
        <v>0.1591271967759772</v>
      </c>
      <c r="G7">
        <v>0.20183222311974441</v>
      </c>
      <c r="H7">
        <v>0.2485521738639484</v>
      </c>
      <c r="I7">
        <v>41566.544660693311</v>
      </c>
      <c r="J7">
        <v>152309.82001317502</v>
      </c>
      <c r="K7">
        <v>143829.71289579596</v>
      </c>
      <c r="L7">
        <v>-423697.02618789568</v>
      </c>
      <c r="M7">
        <v>3.6642405871471002</v>
      </c>
      <c r="N7">
        <v>1.2986211070871778</v>
      </c>
      <c r="O7">
        <v>-2.9458240418992037</v>
      </c>
      <c r="P7">
        <v>-567526.73908369162</v>
      </c>
      <c r="Q7">
        <v>1.6020255829422765</v>
      </c>
    </row>
    <row r="8" spans="1:17" x14ac:dyDescent="0.3">
      <c r="A8">
        <v>3</v>
      </c>
      <c r="B8">
        <v>27.926524794646983</v>
      </c>
      <c r="C8">
        <v>28.748447625109119</v>
      </c>
      <c r="D8">
        <v>0.82192283046213532</v>
      </c>
      <c r="E8">
        <v>0.15942638686913799</v>
      </c>
      <c r="F8">
        <v>0.15887999948497519</v>
      </c>
      <c r="G8">
        <v>0.27399354905921458</v>
      </c>
      <c r="H8">
        <v>0.30981174762799102</v>
      </c>
      <c r="I8">
        <v>7492.2403318044226</v>
      </c>
      <c r="J8">
        <v>40948.575168658601</v>
      </c>
      <c r="K8">
        <v>8317.1612208284569</v>
      </c>
      <c r="L8">
        <v>73569.438630827819</v>
      </c>
      <c r="M8">
        <v>5.4654647148507305</v>
      </c>
      <c r="N8">
        <v>1.6984491527526369</v>
      </c>
      <c r="O8">
        <v>8.8454986836842515</v>
      </c>
      <c r="P8">
        <v>65252.277409999362</v>
      </c>
      <c r="Q8">
        <v>2.0664338424541202</v>
      </c>
    </row>
    <row r="9" spans="1:17" x14ac:dyDescent="0.3">
      <c r="A9">
        <v>3</v>
      </c>
      <c r="B9">
        <v>2.3752815742713107</v>
      </c>
      <c r="C9">
        <v>4.9956318823960109</v>
      </c>
      <c r="D9">
        <v>2.6203503081247002</v>
      </c>
      <c r="E9">
        <v>0.15943043835026399</v>
      </c>
      <c r="F9">
        <v>0.1593297697941416</v>
      </c>
      <c r="G9">
        <v>0.24513165392398861</v>
      </c>
      <c r="H9">
        <v>0.28528376538134198</v>
      </c>
      <c r="I9">
        <v>556.40112472421777</v>
      </c>
      <c r="J9">
        <v>31749.617228505493</v>
      </c>
      <c r="K9">
        <v>1017.4882357078188</v>
      </c>
      <c r="L9">
        <v>-193422.24498841423</v>
      </c>
      <c r="M9">
        <v>57.062460548120399</v>
      </c>
      <c r="N9">
        <v>4.0441464669748015</v>
      </c>
      <c r="O9">
        <v>-190.09777037260724</v>
      </c>
      <c r="P9">
        <v>-194439.73322412206</v>
      </c>
      <c r="Q9">
        <v>1.5433609981213032</v>
      </c>
    </row>
    <row r="10" spans="1:17" x14ac:dyDescent="0.3">
      <c r="A10">
        <v>3</v>
      </c>
      <c r="B10">
        <v>28.186674681352891</v>
      </c>
      <c r="C10">
        <v>29.087773564290732</v>
      </c>
      <c r="D10">
        <v>0.90109888293784479</v>
      </c>
      <c r="E10">
        <v>0.159777900298501</v>
      </c>
      <c r="F10">
        <v>0.15842204020513739</v>
      </c>
      <c r="G10">
        <v>0.29107524323902079</v>
      </c>
      <c r="H10">
        <v>0.3097349983430906</v>
      </c>
      <c r="I10">
        <v>19761.169535678979</v>
      </c>
      <c r="J10">
        <v>25442.747172456657</v>
      </c>
      <c r="K10">
        <v>5616.1499648495055</v>
      </c>
      <c r="L10">
        <v>6972.3226287062107</v>
      </c>
      <c r="M10">
        <v>1.2875122156368091</v>
      </c>
      <c r="N10">
        <v>0.25271184138399433</v>
      </c>
      <c r="O10">
        <v>1.24147728823923</v>
      </c>
      <c r="P10">
        <v>1356.1726638567052</v>
      </c>
      <c r="Q10">
        <v>0.28044851255400532</v>
      </c>
    </row>
    <row r="11" spans="1:17" x14ac:dyDescent="0.3">
      <c r="A11">
        <v>3</v>
      </c>
      <c r="B11">
        <v>15.823899630502686</v>
      </c>
      <c r="C11">
        <v>16.713687648801145</v>
      </c>
      <c r="D11">
        <v>0.88978801829845899</v>
      </c>
      <c r="E11">
        <v>0.16018594859689039</v>
      </c>
      <c r="F11">
        <v>0.15871369273725899</v>
      </c>
      <c r="G11">
        <v>0.33065738650237059</v>
      </c>
      <c r="H11">
        <v>0.29395060006491408</v>
      </c>
      <c r="I11">
        <v>70560.90399111739</v>
      </c>
      <c r="J11">
        <v>11812.711274077225</v>
      </c>
      <c r="K11">
        <v>-232286.65721569728</v>
      </c>
      <c r="L11">
        <v>-8752.7798008879054</v>
      </c>
      <c r="M11">
        <v>0.16741156371188606</v>
      </c>
      <c r="N11">
        <v>-1.7873000449858809</v>
      </c>
      <c r="O11">
        <v>3.7680940893476414E-2</v>
      </c>
      <c r="P11">
        <v>223533.87741480937</v>
      </c>
      <c r="Q11">
        <v>-2.008680728701802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858F-BFB1-4ABC-9F7F-7C6897B4DD3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5C9B-7B74-49CF-BE69-7E4C40310D7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C4F2-41CD-4318-BC71-FC86887385F1}">
  <dimension ref="A1:I5"/>
  <sheetViews>
    <sheetView workbookViewId="0">
      <selection activeCell="I4" sqref="I4"/>
    </sheetView>
  </sheetViews>
  <sheetFormatPr defaultRowHeight="14.4" x14ac:dyDescent="0.3"/>
  <cols>
    <col min="1" max="2" width="7.6640625" bestFit="1" customWidth="1"/>
    <col min="3" max="3" width="12.5546875" bestFit="1" customWidth="1"/>
    <col min="4" max="5" width="17.77734375" bestFit="1" customWidth="1"/>
    <col min="6" max="6" width="18.44140625" bestFit="1" customWidth="1"/>
    <col min="7" max="7" width="17.77734375" bestFit="1" customWidth="1"/>
    <col min="8" max="8" width="12.5546875" bestFit="1" customWidth="1"/>
  </cols>
  <sheetData>
    <row r="1" spans="1:9" x14ac:dyDescent="0.3">
      <c r="A1" s="1" t="s">
        <v>0</v>
      </c>
      <c r="B1" s="1" t="s">
        <v>3</v>
      </c>
      <c r="C1" s="1" t="s">
        <v>12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28</v>
      </c>
    </row>
    <row r="2" spans="1:9" x14ac:dyDescent="0.3">
      <c r="A2" s="1"/>
      <c r="B2" s="1" t="s">
        <v>32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</row>
    <row r="3" spans="1:9" x14ac:dyDescent="0.3">
      <c r="A3" s="1">
        <v>3</v>
      </c>
      <c r="B3" s="1">
        <v>73</v>
      </c>
      <c r="C3" s="7">
        <v>1.02386566489137</v>
      </c>
      <c r="D3" s="8">
        <v>54939.269313644298</v>
      </c>
      <c r="E3" s="8">
        <v>145169.40027715699</v>
      </c>
      <c r="F3" s="8">
        <v>4037.4197919660301</v>
      </c>
      <c r="G3" s="8">
        <v>148591.39382058699</v>
      </c>
      <c r="H3" s="7">
        <v>1.8019857210821499</v>
      </c>
      <c r="I3">
        <f>E3/D3</f>
        <v>2.6423613217058901</v>
      </c>
    </row>
    <row r="4" spans="1:9" x14ac:dyDescent="0.3">
      <c r="A4" s="1">
        <v>4</v>
      </c>
      <c r="B4" s="1">
        <v>77</v>
      </c>
      <c r="C4" s="7">
        <v>0.75684863519916801</v>
      </c>
      <c r="D4" s="8">
        <v>255027.67918436401</v>
      </c>
      <c r="E4" s="8">
        <v>138594.139046603</v>
      </c>
      <c r="F4" s="8">
        <v>-398508.495456626</v>
      </c>
      <c r="G4" s="8">
        <v>-65548.232098820998</v>
      </c>
      <c r="H4" s="7">
        <v>1.63157103477795</v>
      </c>
    </row>
    <row r="5" spans="1:9" x14ac:dyDescent="0.3">
      <c r="A5" s="1">
        <v>7</v>
      </c>
      <c r="B5" s="1">
        <v>80</v>
      </c>
      <c r="C5" s="7">
        <v>0.67177110237427096</v>
      </c>
      <c r="D5" s="8">
        <v>27899.915807483001</v>
      </c>
      <c r="E5" s="8">
        <v>54013.739603594797</v>
      </c>
      <c r="F5" s="8">
        <v>36000.539493931698</v>
      </c>
      <c r="G5" s="8">
        <v>49024.612580099798</v>
      </c>
      <c r="H5" s="7">
        <v>2.04402110471734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E50AE1-B037-4C2C-B198-CF7F1667B83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capture_data</vt:lpstr>
      <vt:lpstr>capture_data_summary_by_orbit</vt:lpstr>
      <vt:lpstr>Sheet3</vt:lpstr>
      <vt:lpstr>capture_data_top_avg_exp_rate</vt:lpstr>
      <vt:lpstr>capture_data_top_phi_exit</vt:lpstr>
      <vt:lpstr>Sheet2</vt:lpstr>
      <vt:lpstr>Sheet1</vt:lpstr>
      <vt:lpstr>Extracted_Summary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James</cp:lastModifiedBy>
  <dcterms:created xsi:type="dcterms:W3CDTF">2026-04-25T03:29:22Z</dcterms:created>
  <dcterms:modified xsi:type="dcterms:W3CDTF">2026-04-25T04:37:39Z</dcterms:modified>
</cp:coreProperties>
</file>